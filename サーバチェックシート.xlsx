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work\gradle\gradle-server-acceptance\"/>
    </mc:Choice>
  </mc:AlternateContent>
  <bookViews>
    <workbookView xWindow="0" yWindow="0" windowWidth="16380" windowHeight="8190" tabRatio="500" firstSheet="1" activeTab="1"/>
  </bookViews>
  <sheets>
    <sheet name="検査対象" sheetId="1" r:id="rId1"/>
    <sheet name="検査レポート" sheetId="2" r:id="rId2"/>
    <sheet name="エラーレポート" sheetId="8" r:id="rId3"/>
    <sheet name="チェックシート(Linux)" sheetId="3" r:id="rId4"/>
    <sheet name="チェックシート(Windows)" sheetId="4" r:id="rId5"/>
    <sheet name="テンプレート(Linux)" sheetId="5" r:id="rId6"/>
    <sheet name="テンプレート(RH7)" sheetId="6" r:id="rId7"/>
    <sheet name="テンプレート(Windows)" sheetId="7" r:id="rId8"/>
  </sheets>
  <calcPr calcId="152511" iterateDelta="1E-4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4" i="7" l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5" i="6"/>
  <c r="A6" i="6" s="1"/>
  <c r="A7" i="6" s="1"/>
  <c r="A8" i="6" s="1"/>
  <c r="A9" i="6" s="1"/>
  <c r="A10" i="6" s="1"/>
  <c r="A4" i="6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</calcChain>
</file>

<file path=xl/sharedStrings.xml><?xml version="1.0" encoding="utf-8"?>
<sst xmlns="http://schemas.openxmlformats.org/spreadsheetml/2006/main" count="972" uniqueCount="508">
  <si>
    <t>共通設定</t>
  </si>
  <si>
    <t>OS設定</t>
  </si>
  <si>
    <t>VM設定</t>
  </si>
  <si>
    <t>検査ドメイン</t>
  </si>
  <si>
    <t>対象サーバ</t>
  </si>
  <si>
    <t>IPアドレス</t>
  </si>
  <si>
    <t>ユーザID</t>
  </si>
  <si>
    <t>テンプレートID</t>
  </si>
  <si>
    <t>エイリアス名</t>
  </si>
  <si>
    <t>比較対象</t>
  </si>
  <si>
    <t>CPU数</t>
  </si>
  <si>
    <t>メモリ[MB]</t>
  </si>
  <si>
    <t>ESXiホスト</t>
  </si>
  <si>
    <t>HDDタイプ</t>
  </si>
  <si>
    <t>メモリ[GB]</t>
  </si>
  <si>
    <t>#</t>
  </si>
  <si>
    <t>domain</t>
  </si>
  <si>
    <t>server_name</t>
  </si>
  <si>
    <t>ip</t>
  </si>
  <si>
    <t>account_id</t>
  </si>
  <si>
    <t>template_id</t>
  </si>
  <si>
    <t>remote_alias</t>
  </si>
  <si>
    <t>compare_server</t>
  </si>
  <si>
    <t>cpu_total</t>
  </si>
  <si>
    <t>mem_total</t>
  </si>
  <si>
    <t>esxi_host</t>
  </si>
  <si>
    <t>hdd_type</t>
  </si>
  <si>
    <t>NumCpu</t>
  </si>
  <si>
    <t>MemoryGB</t>
  </si>
  <si>
    <t>Linux</t>
  </si>
  <si>
    <t>ostrich</t>
  </si>
  <si>
    <t>192.168.10.1</t>
  </si>
  <si>
    <t>Test</t>
  </si>
  <si>
    <t>cent7</t>
  </si>
  <si>
    <t>192.168.0.20</t>
  </si>
  <si>
    <t>RH7</t>
  </si>
  <si>
    <t>Windows</t>
  </si>
  <si>
    <t>win2012</t>
  </si>
  <si>
    <t>192.168.0.24</t>
  </si>
  <si>
    <t>w2012</t>
  </si>
  <si>
    <t>ホスト名</t>
  </si>
  <si>
    <t>ドメイン</t>
  </si>
  <si>
    <t>接続IP</t>
  </si>
  <si>
    <t>OS名</t>
  </si>
  <si>
    <t>アーキテクチャ</t>
  </si>
  <si>
    <t>MEM容量</t>
  </si>
  <si>
    <t>ディスク構成</t>
  </si>
  <si>
    <t>ネットワーク構成</t>
  </si>
  <si>
    <t>管理LAN</t>
  </si>
  <si>
    <t>検査成績</t>
  </si>
  <si>
    <t>検査結果</t>
  </si>
  <si>
    <t>os</t>
  </si>
  <si>
    <t>cpu</t>
  </si>
  <si>
    <t>ID</t>
  </si>
  <si>
    <t>Metric</t>
  </si>
  <si>
    <t>Platform</t>
  </si>
  <si>
    <t>Device</t>
  </si>
  <si>
    <t>Comment</t>
  </si>
  <si>
    <t>Y</t>
  </si>
  <si>
    <t>vm</t>
  </si>
  <si>
    <t>VMWare リソース</t>
  </si>
  <si>
    <t>vCenter</t>
  </si>
  <si>
    <t>VMWare リソース割り当ての検索</t>
  </si>
  <si>
    <t>├─CPU割り当て数</t>
  </si>
  <si>
    <t>仮想マシンのCPU仮想ソケット数</t>
  </si>
  <si>
    <t>PowerState</t>
  </si>
  <si>
    <t>├─電源状態</t>
  </si>
  <si>
    <t>電源On/Off</t>
  </si>
  <si>
    <t>├─メモリ割り当て</t>
  </si>
  <si>
    <t>メモリ割り当てサイズ[GB]</t>
  </si>
  <si>
    <t>VMHost</t>
  </si>
  <si>
    <t>├─ESXiホスト</t>
  </si>
  <si>
    <t>ESXiホスト名</t>
  </si>
  <si>
    <t>Cluster</t>
  </si>
  <si>
    <t>└─クラスター</t>
  </si>
  <si>
    <t>vCenterクラスタ名</t>
  </si>
  <si>
    <t>datastore</t>
  </si>
  <si>
    <t xml:space="preserve">データストア </t>
  </si>
  <si>
    <t>データストアパスの取得</t>
  </si>
  <si>
    <t>VMNetwork</t>
  </si>
  <si>
    <t>ネットワーク・アダプタ</t>
  </si>
  <si>
    <t>ネットワーク・アダプタの取得</t>
  </si>
  <si>
    <t>vmwaretool</t>
  </si>
  <si>
    <t>VMWare ツール</t>
  </si>
  <si>
    <t>VMWare ツールの有無、アップグレードの検索</t>
  </si>
  <si>
    <t>vm_timesync</t>
  </si>
  <si>
    <t>VMWare 時刻同期</t>
  </si>
  <si>
    <t>VMWare 時刻同期の有無</t>
  </si>
  <si>
    <t>vm_iops_limit</t>
  </si>
  <si>
    <t>ストレージIOPS制限</t>
  </si>
  <si>
    <t>ストレージリソースのIOPS制限値を検索</t>
  </si>
  <si>
    <t>vm_storage</t>
  </si>
  <si>
    <t>ストレージ構成</t>
  </si>
  <si>
    <t>ストレージ構成情報検索</t>
  </si>
  <si>
    <t>hostname</t>
  </si>
  <si>
    <t>ホスト名の検索</t>
  </si>
  <si>
    <t>hostname_fqdn</t>
  </si>
  <si>
    <t>FQDN名</t>
  </si>
  <si>
    <t>FQDN名の検索</t>
  </si>
  <si>
    <t>uname</t>
  </si>
  <si>
    <t>OSカーネル</t>
  </si>
  <si>
    <t>kernel</t>
  </si>
  <si>
    <t>カーネル</t>
  </si>
  <si>
    <t>Linux カーネル</t>
  </si>
  <si>
    <t>arch</t>
  </si>
  <si>
    <t>lsb</t>
  </si>
  <si>
    <t>OSバージョン</t>
  </si>
  <si>
    <t>Linux OSディストリビューションを検索</t>
  </si>
  <si>
    <t>OSディストリビューション</t>
  </si>
  <si>
    <t>os_release</t>
  </si>
  <si>
    <t>OSリリース</t>
  </si>
  <si>
    <t>CPU情報</t>
  </si>
  <si>
    <t>/proc/cpuinfo を検索してプロセッサ構成を検索</t>
  </si>
  <si>
    <t>model_name</t>
  </si>
  <si>
    <t>├─プロセッサーモデル</t>
  </si>
  <si>
    <t>CPUプロセッサーモデル</t>
  </si>
  <si>
    <t>mhz</t>
  </si>
  <si>
    <t>├─CPUクロック</t>
  </si>
  <si>
    <t>CPUクロック数[MHz]</t>
  </si>
  <si>
    <t>├─CPUスレッド数</t>
  </si>
  <si>
    <t>CPUスレッド数</t>
  </si>
  <si>
    <t>cpu_core</t>
  </si>
  <si>
    <t>├─CPUコア数</t>
  </si>
  <si>
    <t>CPUコア数。VMの場合は未記入</t>
  </si>
  <si>
    <t>cpu_real</t>
  </si>
  <si>
    <t>└─CPUソケット数</t>
  </si>
  <si>
    <t>CPUソケット数</t>
  </si>
  <si>
    <t>machineid</t>
  </si>
  <si>
    <t>サーバの識別子</t>
  </si>
  <si>
    <t>以下のファイルを検索してマシンの識別子を検索
    /etc/machine-id
    /var/lib/dbus/machine-id</t>
  </si>
  <si>
    <t>meminfo</t>
  </si>
  <si>
    <t>メモリ情報</t>
  </si>
  <si>
    <t>"/proc/meminfo" ファイルを検索してメモリ構成を検索</t>
  </si>
  <si>
    <t>├─メモリ総容量</t>
  </si>
  <si>
    <t>メモリ総容量[MB]</t>
  </si>
  <si>
    <t>mem_free</t>
  </si>
  <si>
    <t>└─メモリ空容量</t>
  </si>
  <si>
    <t>メモリ空き容量[MB]</t>
  </si>
  <si>
    <t>network</t>
  </si>
  <si>
    <t>ネットワーク情報</t>
  </si>
  <si>
    <t>/sbin/ip addr'コマンドでネットワーク構成を検索</t>
  </si>
  <si>
    <t>net_ip</t>
  </si>
  <si>
    <t>├─IPアドレス</t>
  </si>
  <si>
    <t>hw_address</t>
  </si>
  <si>
    <t>└─MACアドレス</t>
  </si>
  <si>
    <t>MACアドレス</t>
  </si>
  <si>
    <t>net_onboot</t>
  </si>
  <si>
    <t>ネットワークブート</t>
  </si>
  <si>
    <t>/etc/sysconfig/network-scriptsからネットワークブート構成検索</t>
  </si>
  <si>
    <t>net_route</t>
  </si>
  <si>
    <t>デフォルトゲートウェイ</t>
  </si>
  <si>
    <t>/sbin/ip route'コマンドでデフォルトゲートウェイアドレスを検索</t>
  </si>
  <si>
    <t>net_bond</t>
  </si>
  <si>
    <t>NICの冗長化(bonding設定)</t>
  </si>
  <si>
    <t>/etc/sysconfig/network-scripts/*-bond*からNIC冗長設定検索</t>
  </si>
  <si>
    <t>y</t>
  </si>
  <si>
    <t>block_device</t>
  </si>
  <si>
    <t>ストレージデバイス</t>
  </si>
  <si>
    <t>/sys/block/下からデバイス構成を検索</t>
  </si>
  <si>
    <t>mdadb</t>
  </si>
  <si>
    <t>ディスクRAID</t>
  </si>
  <si>
    <t xml:space="preserve">"/proc/mdstat" からmd([0-9]+)デバイスを取得。
"mdadm --detail /dev/#{device}" を実行して、結果を取得。
</t>
  </si>
  <si>
    <t>filesystem</t>
  </si>
  <si>
    <t>ファイルシステム</t>
  </si>
  <si>
    <t>"/bin/lsblk -i"コマンドを実行して行数を検索</t>
  </si>
  <si>
    <t>filesystem./</t>
  </si>
  <si>
    <t>├─ルート(/)マウントポイント</t>
  </si>
  <si>
    <t>ルート(/)マウントポイント容量</t>
  </si>
  <si>
    <t>filesystem.[SWAP]</t>
  </si>
  <si>
    <t>├─スワップ</t>
  </si>
  <si>
    <t>スワップ容量</t>
  </si>
  <si>
    <t>filesystem./boot</t>
  </si>
  <si>
    <t>└─/boot マウントポイント</t>
  </si>
  <si>
    <t>/boot マウントポイント容量</t>
  </si>
  <si>
    <t>fstab</t>
  </si>
  <si>
    <t>自動マウントの設定</t>
  </si>
  <si>
    <t>/etc/fstab から設定値が/dev/から始まるパスで、defaultのデバイスを検索</t>
  </si>
  <si>
    <t>lvm</t>
  </si>
  <si>
    <t>論理ボリューム情報</t>
  </si>
  <si>
    <t>mountコマンドで、/dev/mapper/下のボリュームを検索</t>
  </si>
  <si>
    <t>user</t>
  </si>
  <si>
    <t>ユーザ情報</t>
  </si>
  <si>
    <t>"/etc/passwd" を検索して、ユーザ名を検索。詳細は別シートに登録</t>
  </si>
  <si>
    <t>user.zabbix</t>
  </si>
  <si>
    <t>└─zabbix ユーザ</t>
  </si>
  <si>
    <t>zabbix ユーザの有無</t>
  </si>
  <si>
    <t>logon_test</t>
  </si>
  <si>
    <t>ログオンテスト</t>
  </si>
  <si>
    <t>config.groovyに記述したログオン検査用ユーザでssh疎通を確認</t>
  </si>
  <si>
    <t>fips</t>
  </si>
  <si>
    <t>データの暗号化</t>
  </si>
  <si>
    <t>以下ファイルを読んで、データ暗号化の有無を確認
/proc/sys/crypto/fips_enabled</t>
  </si>
  <si>
    <t>virturization</t>
  </si>
  <si>
    <t>仮想化プラットフォーム</t>
  </si>
  <si>
    <t>XEN, KVM, Virtualbox など Linux の仮想化プラットフォームの検索</t>
  </si>
  <si>
    <t>service</t>
  </si>
  <si>
    <t>サービス構成</t>
  </si>
  <si>
    <t>chkconfig --list コマンドで、サービス数を検索、詳細は別シートに登録</t>
  </si>
  <si>
    <t>service.kdump</t>
  </si>
  <si>
    <t>├─Kdumpクラッシュリカバリ</t>
  </si>
  <si>
    <t>kdump クラッシュリカバリーサービスの自動起動設定</t>
  </si>
  <si>
    <t>service.firewalld</t>
  </si>
  <si>
    <t>├─ファイヤーウォール(RHEL7)</t>
  </si>
  <si>
    <t>firewalld ファイヤーウォールの自動起動設定</t>
  </si>
  <si>
    <t>service.iptables</t>
  </si>
  <si>
    <t>├─ファイヤーウォール(RHEL6)</t>
  </si>
  <si>
    <t>iptables ファイヤーウォールの自動起動設定</t>
  </si>
  <si>
    <t>service.ip6tables</t>
  </si>
  <si>
    <t>├─IPv6ファイヤーウォール(RHEL6)</t>
  </si>
  <si>
    <t>ip6tables ファイヤーウォールの自動起動設定</t>
  </si>
  <si>
    <t>service.restorecond</t>
  </si>
  <si>
    <t>├─SELinux運用サポート</t>
  </si>
  <si>
    <t>SELinux の運用サポートデーモンの自動起動設定</t>
  </si>
  <si>
    <t>service.NetworkManager</t>
  </si>
  <si>
    <t>├─ネットワークマネージャー</t>
  </si>
  <si>
    <t>ネットワーク管理の自動起動設定</t>
  </si>
  <si>
    <t>service.wdaemon</t>
  </si>
  <si>
    <t>├─wdaemon</t>
  </si>
  <si>
    <t>Wacom タブレットのホットプラグ機能の自動起動設定</t>
  </si>
  <si>
    <t>service.vncserver</t>
  </si>
  <si>
    <t>└─VNCサービス</t>
  </si>
  <si>
    <t>VNCサーバの自動起動設定</t>
  </si>
  <si>
    <t>packages</t>
  </si>
  <si>
    <t>パッケージ構成</t>
  </si>
  <si>
    <t>rpm -qa でパッケージ情報取得</t>
  </si>
  <si>
    <t>packages.gcc</t>
  </si>
  <si>
    <t>├─gcc コンパイラ</t>
  </si>
  <si>
    <t>gcc パッケージ</t>
  </si>
  <si>
    <t>packages.sysstat</t>
  </si>
  <si>
    <t>├─sysstat</t>
  </si>
  <si>
    <t>sarコマンドが入っているパッケージ</t>
  </si>
  <si>
    <t>packages.dmidecode</t>
  </si>
  <si>
    <t>├─dmidecode</t>
  </si>
  <si>
    <t>ハードウェア構成情報のレポートツール</t>
  </si>
  <si>
    <t>packages.net-snmp</t>
  </si>
  <si>
    <t>├─NetSNMP</t>
  </si>
  <si>
    <t>SNMPマネージャライブラリ</t>
  </si>
  <si>
    <t>packages.net-snmp-utils</t>
  </si>
  <si>
    <t>├─NetSNMPユーティリティ</t>
  </si>
  <si>
    <t>SNMPマネージャコマンドラインプログラム</t>
  </si>
  <si>
    <t>packages.hpsmh</t>
  </si>
  <si>
    <t>├─HPE SMHユーティリティ</t>
  </si>
  <si>
    <t>HP Systems Insight Manager（SIM）にプラグインとして統合されているサーバー構成の統合管理ツール</t>
  </si>
  <si>
    <t>packages_set.oracle</t>
  </si>
  <si>
    <t>├─Oracle必須パッケージ</t>
  </si>
  <si>
    <t>Oracle必須パッケージがインストールされているか。'compat-libcap1','compat-libstdc++-33','libstdc++-devel', 'gcc-c++','ksh','libaio-devel'</t>
  </si>
  <si>
    <t>packages_set.base</t>
  </si>
  <si>
    <t>├─システム管理用パッケージ</t>
  </si>
  <si>
    <t>システム管理用パッケージがインストールされているか。'sysstat', 'dmidecode', 'strace', 'net-snmp-libs', 'net-snmp-utils', 'busybox-anaconda'
'alchemist','xinetd','tftp-server','system-config-netboot-cmd','system-config-netboot',</t>
  </si>
  <si>
    <t>packages_set.sophos</t>
  </si>
  <si>
    <t>├─sophosパッケージ</t>
  </si>
  <si>
    <t>SOPHOS関連パッケージがインストールされているか。 'glibc', 'nss-softokn-freebl', 'libXau', 'libxcb', 'libX11', 'libXpm'</t>
  </si>
  <si>
    <t>packages_set.msm</t>
  </si>
  <si>
    <t>└─msmパッケージ</t>
  </si>
  <si>
    <t>MSM(MegaRAID Storage Manager)関連パッケージがインストールされているか。 'MegaRAID_Storage_Manager', 'Lib_Utils2', 'Lib_Utils', 'sas_snmp', 'sas_ir_snmp'</t>
  </si>
  <si>
    <t>mount_iso</t>
  </si>
  <si>
    <t>ISOマウントの有無</t>
  </si>
  <si>
    <t>mount コマンドで.isoファイルのマウント情報取得</t>
  </si>
  <si>
    <t>proxy_global</t>
  </si>
  <si>
    <t>yumコマンドプロキシ設定有無</t>
  </si>
  <si>
    <t xml:space="preserve"> /etc/yum.conf から、proxyサーバ定義を検索</t>
  </si>
  <si>
    <t>crash_size</t>
  </si>
  <si>
    <t>クラッシュダンプサイズ</t>
  </si>
  <si>
    <t>/sys/kernel/kexec_crash_size を検索</t>
  </si>
  <si>
    <t>kdump_path</t>
  </si>
  <si>
    <t>クラッシュダンプパス</t>
  </si>
  <si>
    <t>/etc/kdump.conf からカーネルダンプの出力先設定を検索</t>
  </si>
  <si>
    <t>runlevel</t>
  </si>
  <si>
    <t>ランレベル</t>
  </si>
  <si>
    <t xml:space="preserve">OS起動時のランレベルからコンソール設定(3 : CUIコンソール、5 : GUIコンソール)を検索
</t>
  </si>
  <si>
    <t>resolve_conf</t>
  </si>
  <si>
    <t>DNS設定</t>
  </si>
  <si>
    <t xml:space="preserve">/etc/resolve.conf から nameserver を検索
</t>
  </si>
  <si>
    <t>nameservers</t>
  </si>
  <si>
    <t>└─DNSサーバ名</t>
  </si>
  <si>
    <t>DNSサーバの検索</t>
  </si>
  <si>
    <t>keyboard</t>
  </si>
  <si>
    <t>キーボード配列</t>
  </si>
  <si>
    <t>language</t>
  </si>
  <si>
    <t>OS言語</t>
  </si>
  <si>
    <t>timezone</t>
  </si>
  <si>
    <t>タイムゾーン</t>
  </si>
  <si>
    <t>ntp</t>
  </si>
  <si>
    <t>NTPサーバ名</t>
  </si>
  <si>
    <t>NTPサーバの検索</t>
  </si>
  <si>
    <t>ntp_slew</t>
  </si>
  <si>
    <t>NTP slewモードの検索</t>
  </si>
  <si>
    <t>/etc/sysconfig/ntpd から、OPTIONSを検索。設定しない＝「-u」、設定する「-x」</t>
  </si>
  <si>
    <t>snmp_trap</t>
  </si>
  <si>
    <t>SNMPトラップ情報</t>
  </si>
  <si>
    <t>'/etc/snmp/snmpd.confから、trapsink &lt;管理サーバ&gt; &lt;コミュニティ名&gt; &lt;ポート番号&gt; 行を検索</t>
  </si>
  <si>
    <t>sestatus</t>
  </si>
  <si>
    <t>SELinuxステータス</t>
  </si>
  <si>
    <t>sestatus コマンドからステータス検索</t>
  </si>
  <si>
    <t>se_mode</t>
  </si>
  <si>
    <t>└─SELinux モード</t>
  </si>
  <si>
    <t>SELinuxモードの検索。SELinuxが無効の場合は空白</t>
  </si>
  <si>
    <t>error_messages</t>
  </si>
  <si>
    <t>Syslogエラー</t>
  </si>
  <si>
    <t>Syslogメッセージでerror,warning,failedを含む行を抽出</t>
  </si>
  <si>
    <t>oracle_module</t>
  </si>
  <si>
    <t>Oracleインストーラの有無</t>
  </si>
  <si>
    <t>/root/packageの下にOracleインストールファイルがあるか</t>
  </si>
  <si>
    <t>oracle</t>
  </si>
  <si>
    <t>Oracleモジュールの有無</t>
  </si>
  <si>
    <t>"ls -d /opt/oracle/app/product/*/*" でOracleのバージョン、サーバ/クライアントを検索</t>
  </si>
  <si>
    <t>VMWare CPU,メモリ割り当て、 電源On-Off、ホストIPの検索</t>
  </si>
  <si>
    <t>vCenterクラスタ名、vCenter構成でない場合は未記入</t>
  </si>
  <si>
    <t>Win32_Processor オブジェクトからCPU情報を検索</t>
  </si>
  <si>
    <t>└─スレッド数</t>
  </si>
  <si>
    <t>memory</t>
  </si>
  <si>
    <t>Win32_OperatingSystemから、メモリ情報を検索</t>
  </si>
  <si>
    <t>visible_memory</t>
  </si>
  <si>
    <t>├─物理メモリ量</t>
  </si>
  <si>
    <t>物理メモリ量[KB]</t>
  </si>
  <si>
    <t>virtual_memory</t>
  </si>
  <si>
    <t>├─仮想メモリ量</t>
  </si>
  <si>
    <t>仮想メモリ量[KB]</t>
  </si>
  <si>
    <t>free_memory</t>
  </si>
  <si>
    <t>└─空きメモリ量</t>
  </si>
  <si>
    <t>メモリ空き容量[KB]</t>
  </si>
  <si>
    <t>system</t>
  </si>
  <si>
    <t>システム情報</t>
  </si>
  <si>
    <t>Win32_ComputerSystemから、システム情報を検索</t>
  </si>
  <si>
    <t>Domain</t>
  </si>
  <si>
    <t>├─ドメイン名</t>
  </si>
  <si>
    <t>ドメイン名</t>
  </si>
  <si>
    <t>Manufacturer</t>
  </si>
  <si>
    <t>├─メーカー</t>
  </si>
  <si>
    <t>メーカー</t>
  </si>
  <si>
    <t>Model</t>
  </si>
  <si>
    <t>├─モデル</t>
  </si>
  <si>
    <t>モデル</t>
  </si>
  <si>
    <t>Name</t>
  </si>
  <si>
    <t>└─コンピューター名</t>
  </si>
  <si>
    <t>コンピューター名</t>
  </si>
  <si>
    <t>OS情報</t>
  </si>
  <si>
    <t>Win32_OperatingSystemから、OS情報を検索</t>
  </si>
  <si>
    <t>os_caption</t>
  </si>
  <si>
    <t>├─OS名</t>
  </si>
  <si>
    <t>OS名称</t>
  </si>
  <si>
    <t>os_csd_version</t>
  </si>
  <si>
    <t>├─サービスパック</t>
  </si>
  <si>
    <t>サービスパック名</t>
  </si>
  <si>
    <t>os_architecture</t>
  </si>
  <si>
    <t>├─アーキテクチャ</t>
  </si>
  <si>
    <t>アーキテクチャ(32bit/64bit)</t>
  </si>
  <si>
    <t>os_product_type</t>
  </si>
  <si>
    <t>└─製品タイプ</t>
  </si>
  <si>
    <t>1:ワークステーション 2:ドメインコントローラ 3:サーバー</t>
  </si>
  <si>
    <t>driver</t>
  </si>
  <si>
    <t>ドライバー</t>
  </si>
  <si>
    <t>Win32_PnPSignedDriverから、ドライバー登録件数を検索。詳細は、別シートに登録</t>
  </si>
  <si>
    <t>ディスク容量</t>
  </si>
  <si>
    <t>Win32_LogicalDiskから、ストレージ容量を検索。詳細は、別シートに登録</t>
  </si>
  <si>
    <t>filesystem.C</t>
  </si>
  <si>
    <t>├─Cドライブ</t>
  </si>
  <si>
    <t>Cドライブ容量</t>
  </si>
  <si>
    <t>filesystem.D</t>
  </si>
  <si>
    <t>└─Dドライブ</t>
  </si>
  <si>
    <t>Dドライブ容量</t>
  </si>
  <si>
    <t>Win32_UserAccount から、ローカルアカウントのロック情報を検索</t>
  </si>
  <si>
    <t>config.groovyに記述したログオン検査用ユーザでPowerShellリモート疎通を確認</t>
  </si>
  <si>
    <t>Get-Service から、サービスのステータスを検索</t>
  </si>
  <si>
    <t>service.VMTools</t>
  </si>
  <si>
    <t>├─VMTools</t>
  </si>
  <si>
    <t>VMware Tools サービス</t>
  </si>
  <si>
    <t>service.wuauserv</t>
  </si>
  <si>
    <t>└─wuauserv</t>
  </si>
  <si>
    <t>Windows Update サービス</t>
  </si>
  <si>
    <t>パッケージ情報取得</t>
  </si>
  <si>
    <t>システム暗号化</t>
  </si>
  <si>
    <t>システム暗号化ポリシー。Enabled の値を検索</t>
  </si>
  <si>
    <t>Win32_NetworkAdapterConfiguration。IP,GW,Indexを検索。詳細は、別シートに登録</t>
  </si>
  <si>
    <t>network.ip</t>
  </si>
  <si>
    <t>network.gw</t>
  </si>
  <si>
    <t>├─ゲートウェイ</t>
  </si>
  <si>
    <t>ネットワークゲートウェイ</t>
  </si>
  <si>
    <t>network.subnet</t>
  </si>
  <si>
    <t>└─サブネット</t>
  </si>
  <si>
    <t>ネットワークサブネット</t>
  </si>
  <si>
    <t>nic_teaming</t>
  </si>
  <si>
    <t>NICチーミング(NetLBFO)設定</t>
  </si>
  <si>
    <t>NICチーミング(NetLBFO)名を検索</t>
  </si>
  <si>
    <t>network_profile</t>
  </si>
  <si>
    <t>ネットワークプロファイル</t>
  </si>
  <si>
    <t>ネットワークプロファイル。0:パブリック,1:プライベート,2:ドメイン認証</t>
  </si>
  <si>
    <t>remote_desktop</t>
  </si>
  <si>
    <t>リモートデスクトップ接続許可設定</t>
  </si>
  <si>
    <t>リモートデスクトップ接続の許可設定を検索。0：利用可能、1：利用不可【既定】</t>
  </si>
  <si>
    <t>firewall</t>
  </si>
  <si>
    <t>ファイヤーウォール</t>
  </si>
  <si>
    <t>Windows Firewall の受信規制リストを検索。詳細は、別シートに登録</t>
  </si>
  <si>
    <t>dns</t>
  </si>
  <si>
    <t>DNSサーバ</t>
  </si>
  <si>
    <t>virturalization</t>
  </si>
  <si>
    <t>Win32_ComputerSystemから仮想化プラットフォームを検索</t>
  </si>
  <si>
    <t>storage_timeout</t>
  </si>
  <si>
    <t>ストレージタイムアウト値</t>
  </si>
  <si>
    <t>ストレージタイムアウト[秒]</t>
  </si>
  <si>
    <t>NTPサーバ情報</t>
  </si>
  <si>
    <t>task_scheduler</t>
  </si>
  <si>
    <t>タスクスケジューラ</t>
  </si>
  <si>
    <t>Windows タスクスケジューラ構成</t>
  </si>
  <si>
    <t>etc_hosts</t>
  </si>
  <si>
    <t>hostsファイル</t>
  </si>
  <si>
    <t>hostsファイル検索</t>
  </si>
  <si>
    <t>ie_version</t>
  </si>
  <si>
    <t>InternetExplorerバージョン</t>
  </si>
  <si>
    <t>feature</t>
  </si>
  <si>
    <t>Windows機能</t>
  </si>
  <si>
    <t>インストールされたWindows機能</t>
  </si>
  <si>
    <t>system_log</t>
  </si>
  <si>
    <t>Windowsシステムイベントログ</t>
  </si>
  <si>
    <t>Windowsシステムイベントログから、エラーを抽出</t>
  </si>
  <si>
    <t>apps_log</t>
  </si>
  <si>
    <t>Windowsアプリイベントログ</t>
  </si>
  <si>
    <t>Windowsアプリイベントログから、エラーを抽出</t>
  </si>
  <si>
    <t>net_dev:k</t>
  </si>
  <si>
    <t>net_ip:k</t>
  </si>
  <si>
    <t>net_onboot:k</t>
  </si>
  <si>
    <t>net_route:k</t>
  </si>
  <si>
    <t>filesystem:k</t>
  </si>
  <si>
    <t>filesystem:v</t>
  </si>
  <si>
    <t>user:k</t>
  </si>
  <si>
    <t>service:k</t>
  </si>
  <si>
    <t>service:v</t>
  </si>
  <si>
    <t>packages:k</t>
  </si>
  <si>
    <t>CentOS</t>
  </si>
  <si>
    <t>x86_64</t>
  </si>
  <si>
    <t xml:space="preserve">eth0 </t>
  </si>
  <si>
    <t>eth0</t>
  </si>
  <si>
    <t>192.168.0.254</t>
  </si>
  <si>
    <t>/</t>
  </si>
  <si>
    <t>100G</t>
  </si>
  <si>
    <t>zabbix</t>
  </si>
  <si>
    <t>kdump</t>
  </si>
  <si>
    <t>On</t>
  </si>
  <si>
    <t>enabled</t>
  </si>
  <si>
    <t>sysstat</t>
  </si>
  <si>
    <t>eth0:1</t>
  </si>
  <si>
    <t>192.168.0.4</t>
  </si>
  <si>
    <t>[SWAP]</t>
  </si>
  <si>
    <t>3G</t>
  </si>
  <si>
    <t>iptables</t>
  </si>
  <si>
    <t>Off</t>
  </si>
  <si>
    <t>dmidecode</t>
  </si>
  <si>
    <t>strace</t>
  </si>
  <si>
    <t>net-snmp-libs</t>
  </si>
  <si>
    <t>net-snmp-utils</t>
  </si>
  <si>
    <t>busybox-anaconda</t>
  </si>
  <si>
    <t>alchemist</t>
  </si>
  <si>
    <t>xinetd</t>
  </si>
  <si>
    <t>tftp-server</t>
  </si>
  <si>
    <t>system-config-netboot-cmd</t>
  </si>
  <si>
    <t>system-config-netboot</t>
  </si>
  <si>
    <t>3.10</t>
  </si>
  <si>
    <t>ens160</t>
  </si>
  <si>
    <t>13.9G</t>
  </si>
  <si>
    <t>active</t>
  </si>
  <si>
    <t>1.6G</t>
  </si>
  <si>
    <t>firewalld</t>
  </si>
  <si>
    <t>network:key</t>
  </si>
  <si>
    <t>filesystem:key</t>
  </si>
  <si>
    <t>filesystem:value</t>
  </si>
  <si>
    <t>users:key</t>
  </si>
  <si>
    <t>service:key</t>
  </si>
  <si>
    <t>service:value</t>
  </si>
  <si>
    <t>esx</t>
  </si>
  <si>
    <t>Windows Server 2012 R2 Standard</t>
  </si>
  <si>
    <t>64 ビット</t>
  </si>
  <si>
    <t>C</t>
  </si>
  <si>
    <t>VMTools</t>
  </si>
  <si>
    <t>Running</t>
  </si>
  <si>
    <t>wuauserv</t>
  </si>
  <si>
    <t>Stopped</t>
  </si>
  <si>
    <t>Linux</t>
    <phoneticPr fontId="8"/>
  </si>
  <si>
    <t>iLO</t>
    <phoneticPr fontId="8"/>
  </si>
  <si>
    <t>PRIMERGY</t>
    <phoneticPr fontId="8"/>
  </si>
  <si>
    <t>No</t>
    <phoneticPr fontId="8"/>
  </si>
  <si>
    <t>os</t>
    <phoneticPr fontId="8"/>
  </si>
  <si>
    <t>arch</t>
    <phoneticPr fontId="8"/>
  </si>
  <si>
    <t>cpu_total</t>
    <phoneticPr fontId="8"/>
  </si>
  <si>
    <t>mem_total</t>
    <phoneticPr fontId="8"/>
  </si>
  <si>
    <t>filesystem</t>
    <phoneticPr fontId="8"/>
  </si>
  <si>
    <t>net_ip</t>
    <phoneticPr fontId="8"/>
  </si>
  <si>
    <t>os_caption</t>
    <phoneticPr fontId="8"/>
  </si>
  <si>
    <t>os_architecture</t>
    <phoneticPr fontId="8"/>
  </si>
  <si>
    <t>visible_memory</t>
    <phoneticPr fontId="8"/>
  </si>
  <si>
    <t>network</t>
    <phoneticPr fontId="8"/>
  </si>
  <si>
    <t>Nic</t>
    <phoneticPr fontId="8"/>
  </si>
  <si>
    <t>nic</t>
    <phoneticPr fontId="8"/>
  </si>
  <si>
    <t>_base</t>
    <phoneticPr fontId="8"/>
  </si>
  <si>
    <t>map</t>
    <phoneticPr fontId="8"/>
  </si>
  <si>
    <t>備考</t>
    <rPh sb="0" eb="2">
      <t>ビコウ</t>
    </rPh>
    <phoneticPr fontId="8"/>
  </si>
  <si>
    <t>name</t>
    <phoneticPr fontId="8"/>
  </si>
  <si>
    <t>success_rate</t>
  </si>
  <si>
    <t>verify_comment</t>
  </si>
  <si>
    <t>No</t>
    <phoneticPr fontId="8"/>
  </si>
  <si>
    <t>Target</t>
    <phoneticPr fontId="8"/>
  </si>
  <si>
    <t>検査対象</t>
    <rPh sb="0" eb="2">
      <t>ケンサ</t>
    </rPh>
    <rPh sb="2" eb="4">
      <t>タイショウ</t>
    </rPh>
    <phoneticPr fontId="8"/>
  </si>
  <si>
    <t>プラットフォーム</t>
    <phoneticPr fontId="8"/>
  </si>
  <si>
    <t>Platform</t>
    <phoneticPr fontId="8"/>
  </si>
  <si>
    <t>ID</t>
    <phoneticPr fontId="8"/>
  </si>
  <si>
    <t>テストID</t>
    <phoneticPr fontId="8"/>
  </si>
  <si>
    <t>error_msg</t>
    <phoneticPr fontId="8"/>
  </si>
  <si>
    <t>エラーメッセージ</t>
    <phoneticPr fontId="8"/>
  </si>
  <si>
    <t>cent7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</si>
</sst>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rgb="FF000000"/>
      <name val="ＭＳ Ｐゴシック"/>
      <family val="2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9"/>
      <color rgb="FF000000"/>
      <name val="ＭＳ ゴシック"/>
      <family val="3"/>
      <charset val="128"/>
    </font>
    <font>
      <sz val="10"/>
      <color rgb="FF000000"/>
      <name val="ＭＳ ゴシック"/>
      <family val="3"/>
      <charset val="1"/>
    </font>
    <font>
      <sz val="10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sz val="10"/>
      <color rgb="FF000000"/>
      <name val="Meiryo UI"/>
      <family val="3"/>
      <charset val="128"/>
    </font>
    <font>
      <sz val="6"/>
      <name val="ＭＳ Ｐゴシック"/>
      <family val="2"/>
      <charset val="128"/>
    </font>
    <font>
      <b/>
      <sz val="11"/>
      <color rgb="FF3F3F3F"/>
      <name val="ＭＳ Ｐゴシック"/>
      <family val="2"/>
      <charset val="128"/>
      <scheme val="minor"/>
    </font>
    <font>
      <sz val="10"/>
      <color rgb="FF3F3F3F"/>
      <name val="ＭＳ Ｐゴシック"/>
      <family val="3"/>
      <charset val="128"/>
      <scheme val="minor"/>
    </font>
    <font>
      <b/>
      <sz val="10"/>
      <color rgb="FF3F3F3F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>
      <alignment vertical="center"/>
    </xf>
    <xf numFmtId="0" fontId="9" fillId="3" borderId="4" applyNumberFormat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3" fillId="0" borderId="3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7" fillId="0" borderId="1" xfId="0" applyFont="1" applyBorder="1">
      <alignment vertical="center"/>
    </xf>
    <xf numFmtId="0" fontId="0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/>
    </xf>
    <xf numFmtId="0" fontId="10" fillId="3" borderId="4" xfId="1" applyFont="1">
      <alignment vertical="center"/>
    </xf>
    <xf numFmtId="0" fontId="11" fillId="3" borderId="4" xfId="1" applyFont="1">
      <alignment vertical="center"/>
    </xf>
    <xf numFmtId="0" fontId="1" fillId="2" borderId="1" xfId="0" applyFont="1" applyFill="1" applyBorder="1">
      <alignment vertical="center"/>
    </xf>
    <xf numFmtId="0" fontId="10" fillId="4" borderId="4" xfId="1" applyFont="1" applyFill="1">
      <alignment vertical="center"/>
    </xf>
    <xf numFmtId="0" fontId="11" fillId="4" borderId="4" xfId="1" applyFont="1" applyFill="1">
      <alignment vertical="center"/>
    </xf>
    <xf numFmtId="0" fontId="0" fillId="4" borderId="1" xfId="0" applyFill="1" applyBorder="1">
      <alignment vertical="center"/>
    </xf>
    <xf numFmtId="0" fontId="1" fillId="2" borderId="1" xfId="0" applyFont="1" applyFill="1" applyBorder="1">
      <alignment vertical="center"/>
    </xf>
  </cellXfs>
  <cellStyles count="2">
    <cellStyle name="出力" xfId="1" builtinId="21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zoomScale="85" zoomScaleNormal="85" workbookViewId="0">
      <selection activeCell="D3" sqref="D3"/>
    </sheetView>
  </sheetViews>
  <sheetFormatPr defaultRowHeight="13.5" x14ac:dyDescent="0.15"/>
  <cols>
    <col min="1" max="1" width="3.5" customWidth="1"/>
    <col min="2" max="2" width="12.25" customWidth="1"/>
    <col min="3" max="3" width="13.25" customWidth="1"/>
    <col min="4" max="4" width="13" customWidth="1"/>
    <col min="5" max="5" width="11.5"/>
    <col min="6" max="6" width="13.75" customWidth="1"/>
    <col min="7" max="7" width="13.125" customWidth="1"/>
    <col min="8" max="8" width="16.5" customWidth="1"/>
    <col min="9" max="9" width="9.875" customWidth="1"/>
    <col min="10" max="10" width="10.75" customWidth="1"/>
    <col min="11" max="11" width="10.125" customWidth="1"/>
    <col min="12" max="12" width="10.75" customWidth="1"/>
    <col min="13" max="13" width="9.25" customWidth="1"/>
    <col min="14" max="14" width="11.25" customWidth="1"/>
    <col min="15" max="1023" width="8.75" customWidth="1"/>
    <col min="1024" max="1025" width="11.625" customWidth="1"/>
  </cols>
  <sheetData>
    <row r="1" spans="1:14" x14ac:dyDescent="0.15">
      <c r="A1" s="1"/>
      <c r="B1" s="19" t="s">
        <v>0</v>
      </c>
      <c r="C1" s="19"/>
      <c r="D1" s="19"/>
      <c r="E1" s="19"/>
      <c r="F1" s="19"/>
      <c r="G1" s="19"/>
      <c r="H1" s="19"/>
      <c r="I1" s="19" t="s">
        <v>1</v>
      </c>
      <c r="J1" s="19"/>
      <c r="K1" s="19" t="s">
        <v>2</v>
      </c>
      <c r="L1" s="19"/>
      <c r="M1" s="19"/>
      <c r="N1" s="19"/>
    </row>
    <row r="2" spans="1:14" x14ac:dyDescent="0.15">
      <c r="A2" s="1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10</v>
      </c>
      <c r="N2" s="1" t="s">
        <v>14</v>
      </c>
    </row>
    <row r="3" spans="1:14" x14ac:dyDescent="0.15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 t="s">
        <v>26</v>
      </c>
      <c r="M3" s="1" t="s">
        <v>27</v>
      </c>
      <c r="N3" s="1" t="s">
        <v>28</v>
      </c>
    </row>
    <row r="4" spans="1:14" x14ac:dyDescent="0.15">
      <c r="A4" s="2">
        <v>1</v>
      </c>
      <c r="B4" s="2" t="s">
        <v>29</v>
      </c>
      <c r="C4" s="2" t="s">
        <v>30</v>
      </c>
      <c r="D4" s="2" t="s">
        <v>31</v>
      </c>
      <c r="E4" s="2" t="s">
        <v>32</v>
      </c>
      <c r="F4" s="2" t="s">
        <v>29</v>
      </c>
      <c r="G4" s="2" t="s">
        <v>30</v>
      </c>
      <c r="H4" s="2" t="s">
        <v>507</v>
      </c>
      <c r="I4" s="2"/>
      <c r="J4" s="2"/>
      <c r="K4" s="2"/>
      <c r="L4" s="2"/>
      <c r="M4" s="2"/>
      <c r="N4" s="2"/>
    </row>
    <row r="5" spans="1:14" x14ac:dyDescent="0.15">
      <c r="A5" s="2">
        <v>2</v>
      </c>
      <c r="B5" s="2" t="s">
        <v>29</v>
      </c>
      <c r="C5" s="2" t="s">
        <v>33</v>
      </c>
      <c r="D5" s="2" t="s">
        <v>34</v>
      </c>
      <c r="E5" s="2" t="s">
        <v>32</v>
      </c>
      <c r="F5" s="2" t="s">
        <v>35</v>
      </c>
      <c r="G5" s="2" t="s">
        <v>33</v>
      </c>
      <c r="H5" s="2"/>
      <c r="I5" s="2"/>
      <c r="J5" s="2"/>
      <c r="K5" s="2"/>
      <c r="L5" s="2"/>
      <c r="M5" s="2"/>
      <c r="N5" s="2"/>
    </row>
    <row r="6" spans="1:14" x14ac:dyDescent="0.15">
      <c r="A6" s="2">
        <v>3</v>
      </c>
      <c r="B6" s="2" t="s">
        <v>36</v>
      </c>
      <c r="C6" s="2" t="s">
        <v>37</v>
      </c>
      <c r="D6" s="2" t="s">
        <v>38</v>
      </c>
      <c r="E6" s="2" t="s">
        <v>32</v>
      </c>
      <c r="F6" s="2" t="s">
        <v>36</v>
      </c>
      <c r="G6" s="2" t="s">
        <v>39</v>
      </c>
      <c r="H6" s="2"/>
      <c r="I6" s="2"/>
      <c r="J6" s="2"/>
      <c r="K6" s="2"/>
      <c r="L6" s="2"/>
      <c r="M6" s="2"/>
      <c r="N6" s="2"/>
    </row>
    <row r="7" spans="1:14" x14ac:dyDescent="0.15">
      <c r="A7" s="2">
        <v>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15">
      <c r="A8" s="2">
        <v>5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15">
      <c r="A9" s="2">
        <v>6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15">
      <c r="A10" s="2">
        <v>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15">
      <c r="A11" s="2">
        <v>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15">
      <c r="A12" s="2">
        <v>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15">
      <c r="A13" s="2">
        <v>10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15">
      <c r="A14" s="2">
        <v>11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15">
      <c r="A15" s="2">
        <v>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15">
      <c r="A16" s="2">
        <v>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 x14ac:dyDescent="0.15">
      <c r="A17" s="2">
        <v>14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15">
      <c r="A18" s="2">
        <v>15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15">
      <c r="A19" s="2">
        <v>16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15">
      <c r="A20" s="2">
        <v>17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15">
      <c r="A21" s="2">
        <v>18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15">
      <c r="A22" s="2">
        <v>19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15">
      <c r="A23" s="2">
        <v>20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</sheetData>
  <mergeCells count="3">
    <mergeCell ref="B1:H1"/>
    <mergeCell ref="I1:J1"/>
    <mergeCell ref="K1:N1"/>
  </mergeCells>
  <phoneticPr fontId="8"/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Roman,標準"&amp;12&amp;A</oddHeader>
    <oddFooter>&amp;C&amp;"Times New Roman,標準"&amp;12ページ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N15"/>
  <sheetViews>
    <sheetView tabSelected="1" zoomScale="70" zoomScaleNormal="70" workbookViewId="0">
      <selection activeCell="I1" sqref="I1"/>
    </sheetView>
  </sheetViews>
  <sheetFormatPr defaultRowHeight="13.5" x14ac:dyDescent="0.15"/>
  <cols>
    <col min="1" max="1" width="4.25" bestFit="1" customWidth="1"/>
    <col min="2" max="4" width="14.375" customWidth="1"/>
    <col min="5" max="5" width="16.625" customWidth="1"/>
    <col min="6" max="8" width="13.125" customWidth="1"/>
    <col min="9" max="11" width="21.25" customWidth="1"/>
    <col min="12" max="12" width="12.25" customWidth="1"/>
    <col min="13" max="13" width="24.75" customWidth="1"/>
    <col min="14" max="14" width="11.5" bestFit="1" customWidth="1"/>
    <col min="15" max="1025" width="8.75" customWidth="1"/>
  </cols>
  <sheetData>
    <row r="3" spans="1:14" x14ac:dyDescent="0.15">
      <c r="A3" s="15" t="s">
        <v>479</v>
      </c>
      <c r="B3" s="15" t="s">
        <v>40</v>
      </c>
      <c r="C3" s="15" t="s">
        <v>41</v>
      </c>
      <c r="D3" s="15" t="s">
        <v>42</v>
      </c>
      <c r="E3" s="15" t="s">
        <v>43</v>
      </c>
      <c r="F3" s="15" t="s">
        <v>44</v>
      </c>
      <c r="G3" s="15" t="s">
        <v>10</v>
      </c>
      <c r="H3" s="15" t="s">
        <v>45</v>
      </c>
      <c r="I3" s="15" t="s">
        <v>46</v>
      </c>
      <c r="J3" s="15" t="s">
        <v>47</v>
      </c>
      <c r="K3" s="15" t="s">
        <v>48</v>
      </c>
      <c r="L3" s="15" t="s">
        <v>49</v>
      </c>
      <c r="M3" s="15" t="s">
        <v>50</v>
      </c>
      <c r="N3" s="15" t="s">
        <v>494</v>
      </c>
    </row>
    <row r="4" spans="1:14" hidden="1" x14ac:dyDescent="0.15">
      <c r="A4" s="13" t="s">
        <v>493</v>
      </c>
      <c r="B4" s="13" t="s">
        <v>495</v>
      </c>
      <c r="C4" s="13" t="s">
        <v>16</v>
      </c>
      <c r="D4" s="13" t="s">
        <v>18</v>
      </c>
      <c r="E4" s="13"/>
      <c r="F4" s="13"/>
      <c r="G4" s="13"/>
      <c r="H4" s="13"/>
      <c r="I4" s="13"/>
      <c r="J4" s="13"/>
      <c r="K4" s="13"/>
      <c r="L4" s="13" t="s">
        <v>496</v>
      </c>
      <c r="M4" s="13" t="s">
        <v>497</v>
      </c>
      <c r="N4" s="14" t="s">
        <v>492</v>
      </c>
    </row>
    <row r="5" spans="1:14" hidden="1" x14ac:dyDescent="0.15">
      <c r="A5" s="13" t="s">
        <v>493</v>
      </c>
      <c r="B5" s="13"/>
      <c r="C5" s="13"/>
      <c r="D5" s="13"/>
      <c r="E5" s="13" t="s">
        <v>480</v>
      </c>
      <c r="F5" s="13" t="s">
        <v>481</v>
      </c>
      <c r="G5" s="13" t="s">
        <v>482</v>
      </c>
      <c r="H5" s="13" t="s">
        <v>483</v>
      </c>
      <c r="I5" s="13" t="s">
        <v>484</v>
      </c>
      <c r="J5" s="13" t="s">
        <v>485</v>
      </c>
      <c r="K5" s="13"/>
      <c r="L5" s="13"/>
      <c r="M5" s="13"/>
      <c r="N5" s="14" t="s">
        <v>476</v>
      </c>
    </row>
    <row r="6" spans="1:14" hidden="1" x14ac:dyDescent="0.15">
      <c r="A6" s="13" t="s">
        <v>493</v>
      </c>
      <c r="B6" s="13"/>
      <c r="C6" s="13"/>
      <c r="D6" s="13"/>
      <c r="E6" s="13" t="s">
        <v>486</v>
      </c>
      <c r="F6" s="13" t="s">
        <v>487</v>
      </c>
      <c r="G6" s="13" t="s">
        <v>482</v>
      </c>
      <c r="H6" s="13" t="s">
        <v>488</v>
      </c>
      <c r="I6" s="13" t="s">
        <v>484</v>
      </c>
      <c r="J6" s="13" t="s">
        <v>489</v>
      </c>
      <c r="K6" s="13"/>
      <c r="L6" s="13"/>
      <c r="M6" s="13"/>
      <c r="N6" s="14" t="s">
        <v>36</v>
      </c>
    </row>
    <row r="7" spans="1:14" hidden="1" x14ac:dyDescent="0.15">
      <c r="A7" s="13" t="s">
        <v>493</v>
      </c>
      <c r="B7" s="13"/>
      <c r="C7" s="13"/>
      <c r="D7" s="13"/>
      <c r="E7" s="13"/>
      <c r="F7" s="13"/>
      <c r="G7" s="13"/>
      <c r="H7" s="13"/>
      <c r="I7" s="13"/>
      <c r="J7" s="13"/>
      <c r="K7" s="13" t="s">
        <v>490</v>
      </c>
      <c r="L7" s="13"/>
      <c r="M7" s="13"/>
      <c r="N7" s="14" t="s">
        <v>477</v>
      </c>
    </row>
    <row r="8" spans="1:14" hidden="1" x14ac:dyDescent="0.15">
      <c r="A8" s="16" t="s">
        <v>493</v>
      </c>
      <c r="B8" s="16"/>
      <c r="C8" s="16"/>
      <c r="D8" s="16"/>
      <c r="E8" s="16"/>
      <c r="F8" s="16"/>
      <c r="G8" s="16"/>
      <c r="H8" s="16"/>
      <c r="I8" s="16"/>
      <c r="J8" s="16"/>
      <c r="K8" s="16" t="s">
        <v>491</v>
      </c>
      <c r="L8" s="16"/>
      <c r="M8" s="16"/>
      <c r="N8" s="17" t="s">
        <v>478</v>
      </c>
    </row>
    <row r="9" spans="1:14" hidden="1" x14ac:dyDescent="0.1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</row>
    <row r="10" spans="1:14" hidden="1" x14ac:dyDescent="0.15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</row>
    <row r="11" spans="1:14" hidden="1" x14ac:dyDescent="0.1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1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1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1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</sheetData>
  <phoneticPr fontId="8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B5" sqref="B5"/>
    </sheetView>
  </sheetViews>
  <sheetFormatPr defaultRowHeight="13.5" x14ac:dyDescent="0.15"/>
  <cols>
    <col min="1" max="1" width="3.375" bestFit="1" customWidth="1"/>
    <col min="2" max="3" width="12.875" customWidth="1"/>
    <col min="4" max="4" width="17" customWidth="1"/>
    <col min="5" max="5" width="65.75" customWidth="1"/>
  </cols>
  <sheetData>
    <row r="1" spans="1:5" x14ac:dyDescent="0.15">
      <c r="A1" s="15"/>
      <c r="B1" s="15" t="s">
        <v>500</v>
      </c>
      <c r="C1" s="15" t="s">
        <v>501</v>
      </c>
      <c r="D1" s="15" t="s">
        <v>504</v>
      </c>
      <c r="E1" s="15" t="s">
        <v>506</v>
      </c>
    </row>
    <row r="2" spans="1:5" x14ac:dyDescent="0.15">
      <c r="A2" s="15" t="s">
        <v>498</v>
      </c>
      <c r="B2" s="15" t="s">
        <v>499</v>
      </c>
      <c r="C2" s="15" t="s">
        <v>502</v>
      </c>
      <c r="D2" s="15" t="s">
        <v>503</v>
      </c>
      <c r="E2" s="15" t="s">
        <v>505</v>
      </c>
    </row>
    <row r="3" spans="1:5" x14ac:dyDescent="0.15">
      <c r="A3" s="2"/>
      <c r="B3" s="2"/>
      <c r="C3" s="2"/>
      <c r="D3" s="2"/>
      <c r="E3" s="2"/>
    </row>
    <row r="4" spans="1:5" x14ac:dyDescent="0.15">
      <c r="A4" s="2"/>
      <c r="B4" s="2"/>
      <c r="C4" s="2"/>
      <c r="D4" s="2"/>
      <c r="E4" s="2"/>
    </row>
    <row r="5" spans="1:5" x14ac:dyDescent="0.15">
      <c r="A5" s="2"/>
      <c r="B5" s="2"/>
      <c r="C5" s="2"/>
      <c r="D5" s="2"/>
      <c r="E5" s="2"/>
    </row>
    <row r="6" spans="1:5" x14ac:dyDescent="0.15">
      <c r="A6" s="2"/>
      <c r="B6" s="2"/>
      <c r="C6" s="2"/>
      <c r="D6" s="2"/>
      <c r="E6" s="2"/>
    </row>
  </sheetData>
  <phoneticPr fontId="8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1"/>
  <sheetViews>
    <sheetView zoomScale="120" zoomScaleNormal="120" workbookViewId="0">
      <selection activeCell="C42" sqref="C42"/>
    </sheetView>
  </sheetViews>
  <sheetFormatPr defaultRowHeight="13.5" x14ac:dyDescent="0.15"/>
  <cols>
    <col min="1" max="1" width="5.5" customWidth="1"/>
    <col min="2" max="2" width="22.75" customWidth="1"/>
    <col min="3" max="3" width="33.375" customWidth="1"/>
    <col min="4" max="5" width="9" customWidth="1"/>
    <col min="6" max="6" width="68.375" customWidth="1"/>
    <col min="7" max="1023" width="8.75" customWidth="1"/>
    <col min="1024" max="1025" width="11.625" customWidth="1"/>
  </cols>
  <sheetData>
    <row r="3" spans="1:6" x14ac:dyDescent="0.15">
      <c r="A3" s="4"/>
      <c r="B3" s="4"/>
      <c r="C3" s="4"/>
      <c r="D3" s="4"/>
      <c r="E3" s="4"/>
      <c r="F3" s="4"/>
    </row>
    <row r="4" spans="1:6" x14ac:dyDescent="0.15">
      <c r="A4" s="5" t="s">
        <v>32</v>
      </c>
      <c r="B4" s="5" t="s">
        <v>53</v>
      </c>
      <c r="C4" s="5" t="s">
        <v>54</v>
      </c>
      <c r="D4" s="5" t="s">
        <v>55</v>
      </c>
      <c r="E4" s="5" t="s">
        <v>56</v>
      </c>
      <c r="F4" s="5" t="s">
        <v>57</v>
      </c>
    </row>
    <row r="5" spans="1:6" x14ac:dyDescent="0.15">
      <c r="A5" s="6" t="s">
        <v>58</v>
      </c>
      <c r="B5" s="6" t="s">
        <v>59</v>
      </c>
      <c r="C5" s="6" t="s">
        <v>60</v>
      </c>
      <c r="D5" s="6" t="s">
        <v>61</v>
      </c>
      <c r="E5" s="6"/>
      <c r="F5" s="6" t="s">
        <v>62</v>
      </c>
    </row>
    <row r="6" spans="1:6" x14ac:dyDescent="0.15">
      <c r="A6" s="6"/>
      <c r="B6" s="6" t="s">
        <v>27</v>
      </c>
      <c r="C6" s="6" t="s">
        <v>63</v>
      </c>
      <c r="D6" s="6" t="s">
        <v>61</v>
      </c>
      <c r="E6" s="6"/>
      <c r="F6" s="6" t="s">
        <v>64</v>
      </c>
    </row>
    <row r="7" spans="1:6" x14ac:dyDescent="0.15">
      <c r="A7" s="6"/>
      <c r="B7" s="6" t="s">
        <v>65</v>
      </c>
      <c r="C7" s="6" t="s">
        <v>66</v>
      </c>
      <c r="D7" s="6" t="s">
        <v>61</v>
      </c>
      <c r="E7" s="6"/>
      <c r="F7" s="6" t="s">
        <v>67</v>
      </c>
    </row>
    <row r="8" spans="1:6" x14ac:dyDescent="0.15">
      <c r="A8" s="6"/>
      <c r="B8" s="6" t="s">
        <v>28</v>
      </c>
      <c r="C8" s="6" t="s">
        <v>68</v>
      </c>
      <c r="D8" s="6" t="s">
        <v>61</v>
      </c>
      <c r="E8" s="6"/>
      <c r="F8" s="6" t="s">
        <v>69</v>
      </c>
    </row>
    <row r="9" spans="1:6" x14ac:dyDescent="0.15">
      <c r="A9" s="6"/>
      <c r="B9" s="6" t="s">
        <v>70</v>
      </c>
      <c r="C9" s="6" t="s">
        <v>71</v>
      </c>
      <c r="D9" s="6" t="s">
        <v>61</v>
      </c>
      <c r="E9" s="6"/>
      <c r="F9" s="6" t="s">
        <v>72</v>
      </c>
    </row>
    <row r="10" spans="1:6" x14ac:dyDescent="0.15">
      <c r="A10" s="6"/>
      <c r="B10" s="6" t="s">
        <v>73</v>
      </c>
      <c r="C10" s="6" t="s">
        <v>74</v>
      </c>
      <c r="D10" s="6" t="s">
        <v>61</v>
      </c>
      <c r="E10" s="6"/>
      <c r="F10" s="6" t="s">
        <v>75</v>
      </c>
    </row>
    <row r="11" spans="1:6" x14ac:dyDescent="0.15">
      <c r="A11" s="6" t="s">
        <v>58</v>
      </c>
      <c r="B11" s="6" t="s">
        <v>76</v>
      </c>
      <c r="C11" s="6" t="s">
        <v>77</v>
      </c>
      <c r="D11" s="6" t="s">
        <v>61</v>
      </c>
      <c r="E11" s="6" t="s">
        <v>58</v>
      </c>
      <c r="F11" s="6" t="s">
        <v>78</v>
      </c>
    </row>
    <row r="12" spans="1:6" x14ac:dyDescent="0.15">
      <c r="A12" s="6" t="s">
        <v>58</v>
      </c>
      <c r="B12" s="6" t="s">
        <v>79</v>
      </c>
      <c r="C12" s="6" t="s">
        <v>80</v>
      </c>
      <c r="D12" s="6" t="s">
        <v>61</v>
      </c>
      <c r="E12" s="6" t="s">
        <v>58</v>
      </c>
      <c r="F12" s="6" t="s">
        <v>81</v>
      </c>
    </row>
    <row r="13" spans="1:6" x14ac:dyDescent="0.15">
      <c r="A13" s="6" t="s">
        <v>58</v>
      </c>
      <c r="B13" s="6" t="s">
        <v>82</v>
      </c>
      <c r="C13" s="6" t="s">
        <v>83</v>
      </c>
      <c r="D13" s="6" t="s">
        <v>61</v>
      </c>
      <c r="E13" s="6"/>
      <c r="F13" s="6" t="s">
        <v>84</v>
      </c>
    </row>
    <row r="14" spans="1:6" x14ac:dyDescent="0.15">
      <c r="A14" s="6" t="s">
        <v>58</v>
      </c>
      <c r="B14" s="6" t="s">
        <v>85</v>
      </c>
      <c r="C14" s="6" t="s">
        <v>86</v>
      </c>
      <c r="D14" s="6" t="s">
        <v>61</v>
      </c>
      <c r="E14" s="6"/>
      <c r="F14" s="6" t="s">
        <v>87</v>
      </c>
    </row>
    <row r="15" spans="1:6" x14ac:dyDescent="0.15">
      <c r="A15" s="6" t="s">
        <v>58</v>
      </c>
      <c r="B15" s="6" t="s">
        <v>88</v>
      </c>
      <c r="C15" s="6" t="s">
        <v>89</v>
      </c>
      <c r="D15" s="6" t="s">
        <v>61</v>
      </c>
      <c r="E15" s="6"/>
      <c r="F15" s="6" t="s">
        <v>90</v>
      </c>
    </row>
    <row r="16" spans="1:6" x14ac:dyDescent="0.15">
      <c r="A16" s="6" t="s">
        <v>58</v>
      </c>
      <c r="B16" s="6" t="s">
        <v>91</v>
      </c>
      <c r="C16" s="6" t="s">
        <v>92</v>
      </c>
      <c r="D16" s="6" t="s">
        <v>61</v>
      </c>
      <c r="E16" s="6" t="s">
        <v>58</v>
      </c>
      <c r="F16" s="6" t="s">
        <v>93</v>
      </c>
    </row>
    <row r="17" spans="1:6" x14ac:dyDescent="0.15">
      <c r="A17" s="6" t="s">
        <v>58</v>
      </c>
      <c r="B17" s="6" t="s">
        <v>94</v>
      </c>
      <c r="C17" s="6" t="s">
        <v>40</v>
      </c>
      <c r="D17" s="6" t="s">
        <v>29</v>
      </c>
      <c r="E17" s="6"/>
      <c r="F17" s="6" t="s">
        <v>95</v>
      </c>
    </row>
    <row r="18" spans="1:6" x14ac:dyDescent="0.15">
      <c r="A18" s="6" t="s">
        <v>58</v>
      </c>
      <c r="B18" s="6" t="s">
        <v>96</v>
      </c>
      <c r="C18" s="6" t="s">
        <v>97</v>
      </c>
      <c r="D18" s="6" t="s">
        <v>29</v>
      </c>
      <c r="E18" s="6"/>
      <c r="F18" s="6" t="s">
        <v>98</v>
      </c>
    </row>
    <row r="19" spans="1:6" x14ac:dyDescent="0.15">
      <c r="A19" s="6" t="s">
        <v>58</v>
      </c>
      <c r="B19" s="6" t="s">
        <v>99</v>
      </c>
      <c r="C19" s="6" t="s">
        <v>100</v>
      </c>
      <c r="D19" s="6" t="s">
        <v>29</v>
      </c>
      <c r="E19" s="6"/>
      <c r="F19" s="6" t="s">
        <v>100</v>
      </c>
    </row>
    <row r="20" spans="1:6" x14ac:dyDescent="0.15">
      <c r="A20" s="6"/>
      <c r="B20" s="6" t="s">
        <v>101</v>
      </c>
      <c r="C20" s="6" t="s">
        <v>102</v>
      </c>
      <c r="D20" s="6" t="s">
        <v>29</v>
      </c>
      <c r="E20" s="6"/>
      <c r="F20" s="6" t="s">
        <v>103</v>
      </c>
    </row>
    <row r="21" spans="1:6" x14ac:dyDescent="0.15">
      <c r="A21" s="6"/>
      <c r="B21" s="6" t="s">
        <v>104</v>
      </c>
      <c r="C21" s="6" t="s">
        <v>44</v>
      </c>
      <c r="D21" s="6" t="s">
        <v>29</v>
      </c>
      <c r="E21" s="6"/>
      <c r="F21" s="6" t="s">
        <v>44</v>
      </c>
    </row>
    <row r="22" spans="1:6" x14ac:dyDescent="0.15">
      <c r="A22" s="6" t="s">
        <v>58</v>
      </c>
      <c r="B22" s="6" t="s">
        <v>105</v>
      </c>
      <c r="C22" s="6" t="s">
        <v>106</v>
      </c>
      <c r="D22" s="6" t="s">
        <v>29</v>
      </c>
      <c r="E22" s="6"/>
      <c r="F22" s="6" t="s">
        <v>107</v>
      </c>
    </row>
    <row r="23" spans="1:6" x14ac:dyDescent="0.15">
      <c r="A23" s="6"/>
      <c r="B23" s="6" t="s">
        <v>51</v>
      </c>
      <c r="C23" s="6" t="s">
        <v>108</v>
      </c>
      <c r="D23" s="6" t="s">
        <v>29</v>
      </c>
      <c r="E23" s="6"/>
      <c r="F23" s="6" t="s">
        <v>108</v>
      </c>
    </row>
    <row r="24" spans="1:6" x14ac:dyDescent="0.15">
      <c r="A24" s="6"/>
      <c r="B24" s="6" t="s">
        <v>109</v>
      </c>
      <c r="C24" s="6" t="s">
        <v>110</v>
      </c>
      <c r="D24" s="6" t="s">
        <v>29</v>
      </c>
      <c r="E24" s="6"/>
      <c r="F24" s="6" t="s">
        <v>110</v>
      </c>
    </row>
    <row r="25" spans="1:6" x14ac:dyDescent="0.15">
      <c r="A25" s="6" t="s">
        <v>58</v>
      </c>
      <c r="B25" s="6" t="s">
        <v>52</v>
      </c>
      <c r="C25" s="6" t="s">
        <v>111</v>
      </c>
      <c r="D25" s="6" t="s">
        <v>29</v>
      </c>
      <c r="E25" s="6"/>
      <c r="F25" s="6" t="s">
        <v>112</v>
      </c>
    </row>
    <row r="26" spans="1:6" x14ac:dyDescent="0.15">
      <c r="A26" s="6"/>
      <c r="B26" s="6" t="s">
        <v>113</v>
      </c>
      <c r="C26" s="6" t="s">
        <v>114</v>
      </c>
      <c r="D26" s="6" t="s">
        <v>29</v>
      </c>
      <c r="E26" s="6"/>
      <c r="F26" s="6" t="s">
        <v>115</v>
      </c>
    </row>
    <row r="27" spans="1:6" x14ac:dyDescent="0.15">
      <c r="A27" s="6"/>
      <c r="B27" s="6" t="s">
        <v>116</v>
      </c>
      <c r="C27" s="6" t="s">
        <v>117</v>
      </c>
      <c r="D27" s="6" t="s">
        <v>29</v>
      </c>
      <c r="E27" s="6"/>
      <c r="F27" s="6" t="s">
        <v>118</v>
      </c>
    </row>
    <row r="28" spans="1:6" x14ac:dyDescent="0.15">
      <c r="A28" s="6"/>
      <c r="B28" s="6" t="s">
        <v>23</v>
      </c>
      <c r="C28" s="6" t="s">
        <v>119</v>
      </c>
      <c r="D28" s="6" t="s">
        <v>29</v>
      </c>
      <c r="E28" s="6"/>
      <c r="F28" s="6" t="s">
        <v>120</v>
      </c>
    </row>
    <row r="29" spans="1:6" x14ac:dyDescent="0.15">
      <c r="A29" s="6"/>
      <c r="B29" s="6" t="s">
        <v>121</v>
      </c>
      <c r="C29" s="6" t="s">
        <v>122</v>
      </c>
      <c r="D29" s="6" t="s">
        <v>29</v>
      </c>
      <c r="E29" s="6"/>
      <c r="F29" s="6" t="s">
        <v>123</v>
      </c>
    </row>
    <row r="30" spans="1:6" x14ac:dyDescent="0.15">
      <c r="A30" s="6"/>
      <c r="B30" s="6" t="s">
        <v>124</v>
      </c>
      <c r="C30" s="6" t="s">
        <v>125</v>
      </c>
      <c r="D30" s="6" t="s">
        <v>29</v>
      </c>
      <c r="E30" s="6"/>
      <c r="F30" s="6" t="s">
        <v>126</v>
      </c>
    </row>
    <row r="31" spans="1:6" ht="36" x14ac:dyDescent="0.15">
      <c r="A31" s="6" t="s">
        <v>58</v>
      </c>
      <c r="B31" s="6" t="s">
        <v>127</v>
      </c>
      <c r="C31" s="6" t="s">
        <v>128</v>
      </c>
      <c r="D31" s="6" t="s">
        <v>29</v>
      </c>
      <c r="E31" s="6"/>
      <c r="F31" s="7" t="s">
        <v>129</v>
      </c>
    </row>
    <row r="32" spans="1:6" x14ac:dyDescent="0.15">
      <c r="A32" s="6" t="s">
        <v>58</v>
      </c>
      <c r="B32" s="6" t="s">
        <v>130</v>
      </c>
      <c r="C32" s="6" t="s">
        <v>131</v>
      </c>
      <c r="D32" s="6" t="s">
        <v>29</v>
      </c>
      <c r="E32" s="6"/>
      <c r="F32" s="6" t="s">
        <v>132</v>
      </c>
    </row>
    <row r="33" spans="1:6" x14ac:dyDescent="0.15">
      <c r="A33" s="6"/>
      <c r="B33" s="6" t="s">
        <v>24</v>
      </c>
      <c r="C33" s="6" t="s">
        <v>133</v>
      </c>
      <c r="D33" s="6" t="s">
        <v>29</v>
      </c>
      <c r="E33" s="6"/>
      <c r="F33" s="6" t="s">
        <v>134</v>
      </c>
    </row>
    <row r="34" spans="1:6" x14ac:dyDescent="0.15">
      <c r="A34" s="6"/>
      <c r="B34" s="6" t="s">
        <v>135</v>
      </c>
      <c r="C34" s="6" t="s">
        <v>136</v>
      </c>
      <c r="D34" s="6" t="s">
        <v>29</v>
      </c>
      <c r="E34" s="6"/>
      <c r="F34" s="6" t="s">
        <v>137</v>
      </c>
    </row>
    <row r="35" spans="1:6" x14ac:dyDescent="0.15">
      <c r="A35" s="6" t="s">
        <v>58</v>
      </c>
      <c r="B35" s="6" t="s">
        <v>138</v>
      </c>
      <c r="C35" s="6" t="s">
        <v>139</v>
      </c>
      <c r="D35" s="6" t="s">
        <v>29</v>
      </c>
      <c r="E35" s="6" t="s">
        <v>58</v>
      </c>
      <c r="F35" s="6" t="s">
        <v>140</v>
      </c>
    </row>
    <row r="36" spans="1:6" x14ac:dyDescent="0.15">
      <c r="A36" s="6"/>
      <c r="B36" s="6" t="s">
        <v>141</v>
      </c>
      <c r="C36" s="6" t="s">
        <v>142</v>
      </c>
      <c r="D36" s="6" t="s">
        <v>29</v>
      </c>
      <c r="E36" s="6"/>
      <c r="F36" s="6" t="s">
        <v>5</v>
      </c>
    </row>
    <row r="37" spans="1:6" x14ac:dyDescent="0.15">
      <c r="A37" s="6"/>
      <c r="B37" s="6" t="s">
        <v>143</v>
      </c>
      <c r="C37" s="6" t="s">
        <v>144</v>
      </c>
      <c r="D37" s="6" t="s">
        <v>29</v>
      </c>
      <c r="E37" s="6"/>
      <c r="F37" s="6" t="s">
        <v>145</v>
      </c>
    </row>
    <row r="38" spans="1:6" x14ac:dyDescent="0.15">
      <c r="A38" s="6" t="s">
        <v>58</v>
      </c>
      <c r="B38" s="6" t="s">
        <v>146</v>
      </c>
      <c r="C38" s="6" t="s">
        <v>147</v>
      </c>
      <c r="D38" s="6" t="s">
        <v>29</v>
      </c>
      <c r="E38" s="6"/>
      <c r="F38" s="6" t="s">
        <v>148</v>
      </c>
    </row>
    <row r="39" spans="1:6" x14ac:dyDescent="0.15">
      <c r="A39" s="6" t="s">
        <v>58</v>
      </c>
      <c r="B39" s="6" t="s">
        <v>149</v>
      </c>
      <c r="C39" s="6" t="s">
        <v>150</v>
      </c>
      <c r="D39" s="6" t="s">
        <v>29</v>
      </c>
      <c r="E39" s="6"/>
      <c r="F39" s="6" t="s">
        <v>151</v>
      </c>
    </row>
    <row r="40" spans="1:6" x14ac:dyDescent="0.15">
      <c r="A40" s="6" t="s">
        <v>58</v>
      </c>
      <c r="B40" s="6" t="s">
        <v>152</v>
      </c>
      <c r="C40" s="6" t="s">
        <v>153</v>
      </c>
      <c r="D40" s="6" t="s">
        <v>29</v>
      </c>
      <c r="E40" s="6" t="s">
        <v>58</v>
      </c>
      <c r="F40" s="6" t="s">
        <v>154</v>
      </c>
    </row>
    <row r="41" spans="1:6" x14ac:dyDescent="0.15">
      <c r="A41" s="6" t="s">
        <v>155</v>
      </c>
      <c r="B41" s="6" t="s">
        <v>156</v>
      </c>
      <c r="C41" s="6" t="s">
        <v>157</v>
      </c>
      <c r="D41" s="6" t="s">
        <v>29</v>
      </c>
      <c r="E41" s="6"/>
      <c r="F41" s="7" t="s">
        <v>158</v>
      </c>
    </row>
    <row r="42" spans="1:6" ht="36" x14ac:dyDescent="0.15">
      <c r="A42" s="6" t="s">
        <v>58</v>
      </c>
      <c r="B42" s="6" t="s">
        <v>159</v>
      </c>
      <c r="C42" s="6" t="s">
        <v>160</v>
      </c>
      <c r="D42" s="6" t="s">
        <v>29</v>
      </c>
      <c r="E42" s="6"/>
      <c r="F42" s="7" t="s">
        <v>161</v>
      </c>
    </row>
    <row r="43" spans="1:6" x14ac:dyDescent="0.15">
      <c r="A43" s="6" t="s">
        <v>58</v>
      </c>
      <c r="B43" s="6" t="s">
        <v>162</v>
      </c>
      <c r="C43" s="6" t="s">
        <v>163</v>
      </c>
      <c r="D43" s="6" t="s">
        <v>29</v>
      </c>
      <c r="E43" s="6" t="s">
        <v>58</v>
      </c>
      <c r="F43" s="6" t="s">
        <v>164</v>
      </c>
    </row>
    <row r="44" spans="1:6" x14ac:dyDescent="0.15">
      <c r="A44" s="6"/>
      <c r="B44" s="6" t="s">
        <v>165</v>
      </c>
      <c r="C44" s="6" t="s">
        <v>166</v>
      </c>
      <c r="D44" s="6" t="s">
        <v>29</v>
      </c>
      <c r="E44" s="6"/>
      <c r="F44" s="6" t="s">
        <v>167</v>
      </c>
    </row>
    <row r="45" spans="1:6" x14ac:dyDescent="0.15">
      <c r="A45" s="6"/>
      <c r="B45" s="6" t="s">
        <v>168</v>
      </c>
      <c r="C45" s="6" t="s">
        <v>169</v>
      </c>
      <c r="D45" s="6" t="s">
        <v>29</v>
      </c>
      <c r="E45" s="6"/>
      <c r="F45" s="6" t="s">
        <v>170</v>
      </c>
    </row>
    <row r="46" spans="1:6" x14ac:dyDescent="0.15">
      <c r="A46" s="6"/>
      <c r="B46" s="6" t="s">
        <v>171</v>
      </c>
      <c r="C46" s="6" t="s">
        <v>172</v>
      </c>
      <c r="D46" s="6" t="s">
        <v>29</v>
      </c>
      <c r="E46" s="6"/>
      <c r="F46" s="6" t="s">
        <v>173</v>
      </c>
    </row>
    <row r="47" spans="1:6" x14ac:dyDescent="0.15">
      <c r="A47" s="6" t="s">
        <v>58</v>
      </c>
      <c r="B47" s="6" t="s">
        <v>174</v>
      </c>
      <c r="C47" s="6" t="s">
        <v>175</v>
      </c>
      <c r="D47" s="6" t="s">
        <v>29</v>
      </c>
      <c r="E47" s="6"/>
      <c r="F47" s="6" t="s">
        <v>176</v>
      </c>
    </row>
    <row r="48" spans="1:6" x14ac:dyDescent="0.15">
      <c r="A48" s="6" t="s">
        <v>58</v>
      </c>
      <c r="B48" s="6" t="s">
        <v>177</v>
      </c>
      <c r="C48" s="6" t="s">
        <v>178</v>
      </c>
      <c r="D48" s="6" t="s">
        <v>29</v>
      </c>
      <c r="E48" s="6" t="s">
        <v>58</v>
      </c>
      <c r="F48" s="6" t="s">
        <v>179</v>
      </c>
    </row>
    <row r="49" spans="1:6" x14ac:dyDescent="0.15">
      <c r="A49" s="6" t="s">
        <v>58</v>
      </c>
      <c r="B49" s="6" t="s">
        <v>180</v>
      </c>
      <c r="C49" s="6" t="s">
        <v>181</v>
      </c>
      <c r="D49" s="6" t="s">
        <v>29</v>
      </c>
      <c r="E49" s="6" t="s">
        <v>58</v>
      </c>
      <c r="F49" s="6" t="s">
        <v>182</v>
      </c>
    </row>
    <row r="50" spans="1:6" x14ac:dyDescent="0.15">
      <c r="A50" s="6"/>
      <c r="B50" s="6" t="s">
        <v>183</v>
      </c>
      <c r="C50" s="6" t="s">
        <v>184</v>
      </c>
      <c r="D50" s="6" t="s">
        <v>29</v>
      </c>
      <c r="E50" s="6"/>
      <c r="F50" s="6" t="s">
        <v>185</v>
      </c>
    </row>
    <row r="51" spans="1:6" x14ac:dyDescent="0.15">
      <c r="A51" s="6" t="s">
        <v>58</v>
      </c>
      <c r="B51" s="6" t="s">
        <v>186</v>
      </c>
      <c r="C51" s="6" t="s">
        <v>187</v>
      </c>
      <c r="D51" s="6" t="s">
        <v>29</v>
      </c>
      <c r="E51" s="6"/>
      <c r="F51" s="6" t="s">
        <v>188</v>
      </c>
    </row>
    <row r="52" spans="1:6" ht="36" x14ac:dyDescent="0.15">
      <c r="A52" s="6" t="s">
        <v>58</v>
      </c>
      <c r="B52" s="6" t="s">
        <v>189</v>
      </c>
      <c r="C52" s="6" t="s">
        <v>190</v>
      </c>
      <c r="D52" s="6" t="s">
        <v>29</v>
      </c>
      <c r="E52" s="6"/>
      <c r="F52" s="7" t="s">
        <v>191</v>
      </c>
    </row>
    <row r="53" spans="1:6" x14ac:dyDescent="0.15">
      <c r="A53" s="6" t="s">
        <v>58</v>
      </c>
      <c r="B53" s="6" t="s">
        <v>192</v>
      </c>
      <c r="C53" s="6" t="s">
        <v>193</v>
      </c>
      <c r="D53" s="6" t="s">
        <v>29</v>
      </c>
      <c r="E53" s="6"/>
      <c r="F53" s="6" t="s">
        <v>194</v>
      </c>
    </row>
    <row r="54" spans="1:6" x14ac:dyDescent="0.15">
      <c r="A54" s="6" t="s">
        <v>58</v>
      </c>
      <c r="B54" s="6" t="s">
        <v>195</v>
      </c>
      <c r="C54" s="6" t="s">
        <v>196</v>
      </c>
      <c r="D54" s="6" t="s">
        <v>29</v>
      </c>
      <c r="E54" s="6" t="s">
        <v>58</v>
      </c>
      <c r="F54" s="6" t="s">
        <v>197</v>
      </c>
    </row>
    <row r="55" spans="1:6" x14ac:dyDescent="0.15">
      <c r="A55" s="6"/>
      <c r="B55" s="6" t="s">
        <v>198</v>
      </c>
      <c r="C55" s="6" t="s">
        <v>199</v>
      </c>
      <c r="D55" s="6" t="s">
        <v>29</v>
      </c>
      <c r="E55" s="6"/>
      <c r="F55" s="6" t="s">
        <v>200</v>
      </c>
    </row>
    <row r="56" spans="1:6" x14ac:dyDescent="0.15">
      <c r="A56" s="6"/>
      <c r="B56" s="6" t="s">
        <v>201</v>
      </c>
      <c r="C56" s="6" t="s">
        <v>202</v>
      </c>
      <c r="D56" s="6" t="s">
        <v>29</v>
      </c>
      <c r="E56" s="6"/>
      <c r="F56" s="6" t="s">
        <v>203</v>
      </c>
    </row>
    <row r="57" spans="1:6" x14ac:dyDescent="0.15">
      <c r="A57" s="6"/>
      <c r="B57" s="6" t="s">
        <v>204</v>
      </c>
      <c r="C57" s="6" t="s">
        <v>205</v>
      </c>
      <c r="D57" s="6" t="s">
        <v>29</v>
      </c>
      <c r="E57" s="6"/>
      <c r="F57" s="6" t="s">
        <v>206</v>
      </c>
    </row>
    <row r="58" spans="1:6" x14ac:dyDescent="0.15">
      <c r="A58" s="6"/>
      <c r="B58" s="6" t="s">
        <v>207</v>
      </c>
      <c r="C58" s="6" t="s">
        <v>208</v>
      </c>
      <c r="D58" s="6" t="s">
        <v>29</v>
      </c>
      <c r="E58" s="6"/>
      <c r="F58" s="6" t="s">
        <v>209</v>
      </c>
    </row>
    <row r="59" spans="1:6" x14ac:dyDescent="0.15">
      <c r="A59" s="6"/>
      <c r="B59" s="6" t="s">
        <v>210</v>
      </c>
      <c r="C59" s="6" t="s">
        <v>211</v>
      </c>
      <c r="D59" s="6" t="s">
        <v>29</v>
      </c>
      <c r="E59" s="6"/>
      <c r="F59" s="6" t="s">
        <v>212</v>
      </c>
    </row>
    <row r="60" spans="1:6" x14ac:dyDescent="0.15">
      <c r="A60" s="6"/>
      <c r="B60" s="6" t="s">
        <v>213</v>
      </c>
      <c r="C60" s="6" t="s">
        <v>214</v>
      </c>
      <c r="D60" s="6" t="s">
        <v>29</v>
      </c>
      <c r="E60" s="6"/>
      <c r="F60" s="6" t="s">
        <v>215</v>
      </c>
    </row>
    <row r="61" spans="1:6" x14ac:dyDescent="0.15">
      <c r="A61" s="6"/>
      <c r="B61" s="6" t="s">
        <v>216</v>
      </c>
      <c r="C61" s="6" t="s">
        <v>217</v>
      </c>
      <c r="D61" s="6" t="s">
        <v>29</v>
      </c>
      <c r="E61" s="6"/>
      <c r="F61" s="6" t="s">
        <v>218</v>
      </c>
    </row>
    <row r="62" spans="1:6" x14ac:dyDescent="0.15">
      <c r="A62" s="6"/>
      <c r="B62" s="6" t="s">
        <v>219</v>
      </c>
      <c r="C62" s="6" t="s">
        <v>220</v>
      </c>
      <c r="D62" s="6" t="s">
        <v>29</v>
      </c>
      <c r="E62" s="6"/>
      <c r="F62" s="6" t="s">
        <v>221</v>
      </c>
    </row>
    <row r="63" spans="1:6" x14ac:dyDescent="0.15">
      <c r="A63" s="6" t="s">
        <v>58</v>
      </c>
      <c r="B63" s="6" t="s">
        <v>222</v>
      </c>
      <c r="C63" s="6" t="s">
        <v>223</v>
      </c>
      <c r="D63" s="6" t="s">
        <v>29</v>
      </c>
      <c r="E63" s="6" t="s">
        <v>58</v>
      </c>
      <c r="F63" s="6" t="s">
        <v>224</v>
      </c>
    </row>
    <row r="64" spans="1:6" x14ac:dyDescent="0.15">
      <c r="A64" s="6"/>
      <c r="B64" s="6" t="s">
        <v>225</v>
      </c>
      <c r="C64" s="6" t="s">
        <v>226</v>
      </c>
      <c r="D64" s="6" t="s">
        <v>29</v>
      </c>
      <c r="E64" s="6"/>
      <c r="F64" s="6" t="s">
        <v>227</v>
      </c>
    </row>
    <row r="65" spans="1:6" x14ac:dyDescent="0.15">
      <c r="A65" s="6"/>
      <c r="B65" s="6" t="s">
        <v>228</v>
      </c>
      <c r="C65" s="6" t="s">
        <v>229</v>
      </c>
      <c r="D65" s="6" t="s">
        <v>29</v>
      </c>
      <c r="E65" s="6"/>
      <c r="F65" s="6" t="s">
        <v>230</v>
      </c>
    </row>
    <row r="66" spans="1:6" x14ac:dyDescent="0.15">
      <c r="A66" s="6"/>
      <c r="B66" s="6" t="s">
        <v>231</v>
      </c>
      <c r="C66" s="6" t="s">
        <v>232</v>
      </c>
      <c r="D66" s="6" t="s">
        <v>29</v>
      </c>
      <c r="E66" s="6"/>
      <c r="F66" s="6" t="s">
        <v>233</v>
      </c>
    </row>
    <row r="67" spans="1:6" x14ac:dyDescent="0.15">
      <c r="A67" s="6"/>
      <c r="B67" s="6" t="s">
        <v>234</v>
      </c>
      <c r="C67" s="6" t="s">
        <v>235</v>
      </c>
      <c r="D67" s="6" t="s">
        <v>29</v>
      </c>
      <c r="E67" s="6"/>
      <c r="F67" s="6" t="s">
        <v>236</v>
      </c>
    </row>
    <row r="68" spans="1:6" x14ac:dyDescent="0.15">
      <c r="A68" s="6"/>
      <c r="B68" s="6" t="s">
        <v>237</v>
      </c>
      <c r="C68" s="6" t="s">
        <v>238</v>
      </c>
      <c r="D68" s="6" t="s">
        <v>29</v>
      </c>
      <c r="E68" s="6"/>
      <c r="F68" s="6" t="s">
        <v>239</v>
      </c>
    </row>
    <row r="69" spans="1:6" ht="24" x14ac:dyDescent="0.15">
      <c r="A69" s="6"/>
      <c r="B69" s="6" t="s">
        <v>240</v>
      </c>
      <c r="C69" s="6" t="s">
        <v>241</v>
      </c>
      <c r="D69" s="6" t="s">
        <v>29</v>
      </c>
      <c r="E69" s="6"/>
      <c r="F69" s="7" t="s">
        <v>242</v>
      </c>
    </row>
    <row r="70" spans="1:6" ht="24" x14ac:dyDescent="0.15">
      <c r="A70" s="6"/>
      <c r="B70" s="6" t="s">
        <v>243</v>
      </c>
      <c r="C70" s="6" t="s">
        <v>244</v>
      </c>
      <c r="D70" s="6" t="s">
        <v>29</v>
      </c>
      <c r="E70" s="6"/>
      <c r="F70" s="7" t="s">
        <v>245</v>
      </c>
    </row>
    <row r="71" spans="1:6" ht="48" x14ac:dyDescent="0.15">
      <c r="A71" s="6"/>
      <c r="B71" s="6" t="s">
        <v>246</v>
      </c>
      <c r="C71" s="6" t="s">
        <v>247</v>
      </c>
      <c r="D71" s="6" t="s">
        <v>29</v>
      </c>
      <c r="E71" s="6"/>
      <c r="F71" s="7" t="s">
        <v>248</v>
      </c>
    </row>
    <row r="72" spans="1:6" ht="24" x14ac:dyDescent="0.15">
      <c r="A72" s="6"/>
      <c r="B72" s="6" t="s">
        <v>249</v>
      </c>
      <c r="C72" s="6" t="s">
        <v>250</v>
      </c>
      <c r="D72" s="6" t="s">
        <v>29</v>
      </c>
      <c r="E72" s="6"/>
      <c r="F72" s="7" t="s">
        <v>251</v>
      </c>
    </row>
    <row r="73" spans="1:6" ht="36" x14ac:dyDescent="0.15">
      <c r="A73" s="6"/>
      <c r="B73" s="6" t="s">
        <v>252</v>
      </c>
      <c r="C73" s="6" t="s">
        <v>253</v>
      </c>
      <c r="D73" s="6" t="s">
        <v>29</v>
      </c>
      <c r="E73" s="6"/>
      <c r="F73" s="7" t="s">
        <v>254</v>
      </c>
    </row>
    <row r="74" spans="1:6" x14ac:dyDescent="0.15">
      <c r="A74" s="6" t="s">
        <v>58</v>
      </c>
      <c r="B74" s="6" t="s">
        <v>255</v>
      </c>
      <c r="C74" s="6" t="s">
        <v>256</v>
      </c>
      <c r="D74" s="6" t="s">
        <v>29</v>
      </c>
      <c r="E74" s="6"/>
      <c r="F74" s="6" t="s">
        <v>257</v>
      </c>
    </row>
    <row r="75" spans="1:6" x14ac:dyDescent="0.15">
      <c r="A75" s="6" t="s">
        <v>58</v>
      </c>
      <c r="B75" s="6" t="s">
        <v>258</v>
      </c>
      <c r="C75" s="6" t="s">
        <v>259</v>
      </c>
      <c r="D75" s="6" t="s">
        <v>29</v>
      </c>
      <c r="E75" s="6"/>
      <c r="F75" s="6" t="s">
        <v>260</v>
      </c>
    </row>
    <row r="76" spans="1:6" x14ac:dyDescent="0.15">
      <c r="A76" s="6" t="s">
        <v>58</v>
      </c>
      <c r="B76" s="6" t="s">
        <v>261</v>
      </c>
      <c r="C76" s="6" t="s">
        <v>262</v>
      </c>
      <c r="D76" s="6" t="s">
        <v>29</v>
      </c>
      <c r="E76" s="6"/>
      <c r="F76" s="6" t="s">
        <v>263</v>
      </c>
    </row>
    <row r="77" spans="1:6" x14ac:dyDescent="0.15">
      <c r="A77" s="6" t="s">
        <v>58</v>
      </c>
      <c r="B77" s="6" t="s">
        <v>264</v>
      </c>
      <c r="C77" s="6" t="s">
        <v>265</v>
      </c>
      <c r="D77" s="6" t="s">
        <v>29</v>
      </c>
      <c r="E77" s="6"/>
      <c r="F77" s="6" t="s">
        <v>266</v>
      </c>
    </row>
    <row r="78" spans="1:6" ht="36" x14ac:dyDescent="0.15">
      <c r="A78" s="6" t="s">
        <v>58</v>
      </c>
      <c r="B78" s="6" t="s">
        <v>267</v>
      </c>
      <c r="C78" s="6" t="s">
        <v>268</v>
      </c>
      <c r="D78" s="6" t="s">
        <v>29</v>
      </c>
      <c r="E78" s="6"/>
      <c r="F78" s="7" t="s">
        <v>269</v>
      </c>
    </row>
    <row r="79" spans="1:6" ht="24" x14ac:dyDescent="0.15">
      <c r="A79" s="6" t="s">
        <v>58</v>
      </c>
      <c r="B79" s="6" t="s">
        <v>270</v>
      </c>
      <c r="C79" s="6" t="s">
        <v>271</v>
      </c>
      <c r="D79" s="6" t="s">
        <v>29</v>
      </c>
      <c r="E79" s="6"/>
      <c r="F79" s="7" t="s">
        <v>272</v>
      </c>
    </row>
    <row r="80" spans="1:6" x14ac:dyDescent="0.15">
      <c r="A80" s="6"/>
      <c r="B80" s="6" t="s">
        <v>273</v>
      </c>
      <c r="C80" s="6" t="s">
        <v>274</v>
      </c>
      <c r="D80" s="6" t="s">
        <v>29</v>
      </c>
      <c r="E80" s="6"/>
      <c r="F80" s="6" t="s">
        <v>275</v>
      </c>
    </row>
    <row r="81" spans="1:6" x14ac:dyDescent="0.15">
      <c r="A81" s="6" t="s">
        <v>58</v>
      </c>
      <c r="B81" s="6" t="s">
        <v>276</v>
      </c>
      <c r="C81" s="6" t="s">
        <v>277</v>
      </c>
      <c r="D81" s="6" t="s">
        <v>29</v>
      </c>
      <c r="E81" s="6"/>
      <c r="F81" s="6" t="s">
        <v>277</v>
      </c>
    </row>
    <row r="82" spans="1:6" x14ac:dyDescent="0.15">
      <c r="A82" s="6" t="s">
        <v>58</v>
      </c>
      <c r="B82" s="6" t="s">
        <v>278</v>
      </c>
      <c r="C82" s="6" t="s">
        <v>279</v>
      </c>
      <c r="D82" s="6" t="s">
        <v>29</v>
      </c>
      <c r="E82" s="6"/>
      <c r="F82" s="6" t="s">
        <v>279</v>
      </c>
    </row>
    <row r="83" spans="1:6" x14ac:dyDescent="0.15">
      <c r="A83" s="6" t="s">
        <v>58</v>
      </c>
      <c r="B83" s="6" t="s">
        <v>280</v>
      </c>
      <c r="C83" s="6" t="s">
        <v>281</v>
      </c>
      <c r="D83" s="6" t="s">
        <v>29</v>
      </c>
      <c r="E83" s="6"/>
      <c r="F83" s="6" t="s">
        <v>281</v>
      </c>
    </row>
    <row r="84" spans="1:6" x14ac:dyDescent="0.15">
      <c r="A84" s="6" t="s">
        <v>58</v>
      </c>
      <c r="B84" s="6" t="s">
        <v>282</v>
      </c>
      <c r="C84" s="6" t="s">
        <v>283</v>
      </c>
      <c r="D84" s="6" t="s">
        <v>29</v>
      </c>
      <c r="E84" s="6"/>
      <c r="F84" s="6" t="s">
        <v>284</v>
      </c>
    </row>
    <row r="85" spans="1:6" x14ac:dyDescent="0.15">
      <c r="A85" s="6" t="s">
        <v>58</v>
      </c>
      <c r="B85" s="6" t="s">
        <v>285</v>
      </c>
      <c r="C85" s="6" t="s">
        <v>286</v>
      </c>
      <c r="D85" s="6" t="s">
        <v>29</v>
      </c>
      <c r="E85" s="6"/>
      <c r="F85" s="6" t="s">
        <v>287</v>
      </c>
    </row>
    <row r="86" spans="1:6" x14ac:dyDescent="0.15">
      <c r="A86" s="6" t="s">
        <v>58</v>
      </c>
      <c r="B86" s="6" t="s">
        <v>288</v>
      </c>
      <c r="C86" s="6" t="s">
        <v>289</v>
      </c>
      <c r="D86" s="6" t="s">
        <v>29</v>
      </c>
      <c r="E86" s="6"/>
      <c r="F86" s="6" t="s">
        <v>290</v>
      </c>
    </row>
    <row r="87" spans="1:6" x14ac:dyDescent="0.15">
      <c r="A87" s="6" t="s">
        <v>58</v>
      </c>
      <c r="B87" s="6" t="s">
        <v>291</v>
      </c>
      <c r="C87" s="6" t="s">
        <v>292</v>
      </c>
      <c r="D87" s="6" t="s">
        <v>29</v>
      </c>
      <c r="E87" s="6"/>
      <c r="F87" s="6" t="s">
        <v>293</v>
      </c>
    </row>
    <row r="88" spans="1:6" x14ac:dyDescent="0.15">
      <c r="A88" s="6"/>
      <c r="B88" s="6" t="s">
        <v>294</v>
      </c>
      <c r="C88" s="6" t="s">
        <v>295</v>
      </c>
      <c r="D88" s="6" t="s">
        <v>29</v>
      </c>
      <c r="E88" s="6"/>
      <c r="F88" s="6" t="s">
        <v>296</v>
      </c>
    </row>
    <row r="89" spans="1:6" x14ac:dyDescent="0.15">
      <c r="A89" s="6" t="s">
        <v>58</v>
      </c>
      <c r="B89" s="6" t="s">
        <v>297</v>
      </c>
      <c r="C89" s="6" t="s">
        <v>298</v>
      </c>
      <c r="D89" s="6" t="s">
        <v>29</v>
      </c>
      <c r="E89" s="6" t="s">
        <v>58</v>
      </c>
      <c r="F89" s="6" t="s">
        <v>299</v>
      </c>
    </row>
    <row r="90" spans="1:6" x14ac:dyDescent="0.15">
      <c r="A90" s="6" t="s">
        <v>58</v>
      </c>
      <c r="B90" s="6" t="s">
        <v>300</v>
      </c>
      <c r="C90" s="6" t="s">
        <v>301</v>
      </c>
      <c r="D90" s="6" t="s">
        <v>29</v>
      </c>
      <c r="E90" s="6"/>
      <c r="F90" s="6" t="s">
        <v>302</v>
      </c>
    </row>
    <row r="91" spans="1:6" x14ac:dyDescent="0.15">
      <c r="A91" s="6" t="s">
        <v>58</v>
      </c>
      <c r="B91" s="6" t="s">
        <v>303</v>
      </c>
      <c r="C91" s="6" t="s">
        <v>304</v>
      </c>
      <c r="D91" s="6" t="s">
        <v>29</v>
      </c>
      <c r="E91" s="6"/>
      <c r="F91" s="6" t="s">
        <v>305</v>
      </c>
    </row>
  </sheetData>
  <phoneticPr fontId="8"/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Roman,標準"&amp;12&amp;A</oddHeader>
    <oddFooter>&amp;C&amp;"Times New Roman,標準"&amp;12ページ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63"/>
  <sheetViews>
    <sheetView topLeftCell="A13" zoomScale="120" zoomScaleNormal="120" workbookViewId="0">
      <selection activeCell="B23" sqref="B23"/>
    </sheetView>
  </sheetViews>
  <sheetFormatPr defaultRowHeight="13.5" x14ac:dyDescent="0.15"/>
  <cols>
    <col min="1" max="1" width="5.5" customWidth="1"/>
    <col min="2" max="2" width="14.875" customWidth="1"/>
    <col min="3" max="3" width="27.75" customWidth="1"/>
    <col min="4" max="4" width="9" customWidth="1"/>
    <col min="5" max="5" width="8.25" customWidth="1"/>
    <col min="6" max="6" width="65.75" customWidth="1"/>
    <col min="7" max="1025" width="8.75" customWidth="1"/>
  </cols>
  <sheetData>
    <row r="4" spans="1:6" x14ac:dyDescent="0.15">
      <c r="A4" s="8" t="s">
        <v>32</v>
      </c>
      <c r="B4" s="8" t="s">
        <v>53</v>
      </c>
      <c r="C4" s="8" t="s">
        <v>54</v>
      </c>
      <c r="D4" s="8" t="s">
        <v>55</v>
      </c>
      <c r="E4" s="8" t="s">
        <v>56</v>
      </c>
      <c r="F4" s="8" t="s">
        <v>57</v>
      </c>
    </row>
    <row r="5" spans="1:6" x14ac:dyDescent="0.15">
      <c r="A5" s="2" t="s">
        <v>58</v>
      </c>
      <c r="B5" s="2" t="s">
        <v>59</v>
      </c>
      <c r="C5" s="2" t="s">
        <v>60</v>
      </c>
      <c r="D5" s="2" t="s">
        <v>61</v>
      </c>
      <c r="E5" s="2"/>
      <c r="F5" s="2" t="s">
        <v>306</v>
      </c>
    </row>
    <row r="6" spans="1:6" x14ac:dyDescent="0.15">
      <c r="A6" s="2"/>
      <c r="B6" s="2" t="s">
        <v>27</v>
      </c>
      <c r="C6" s="2" t="s">
        <v>63</v>
      </c>
      <c r="D6" s="2" t="s">
        <v>61</v>
      </c>
      <c r="E6" s="2"/>
      <c r="F6" s="2" t="s">
        <v>64</v>
      </c>
    </row>
    <row r="7" spans="1:6" x14ac:dyDescent="0.15">
      <c r="A7" s="2"/>
      <c r="B7" s="2" t="s">
        <v>65</v>
      </c>
      <c r="C7" s="2" t="s">
        <v>66</v>
      </c>
      <c r="D7" s="2" t="s">
        <v>61</v>
      </c>
      <c r="E7" s="2"/>
      <c r="F7" s="2" t="s">
        <v>67</v>
      </c>
    </row>
    <row r="8" spans="1:6" x14ac:dyDescent="0.15">
      <c r="A8" s="2"/>
      <c r="B8" s="2" t="s">
        <v>28</v>
      </c>
      <c r="C8" s="2" t="s">
        <v>68</v>
      </c>
      <c r="D8" s="2" t="s">
        <v>61</v>
      </c>
      <c r="E8" s="2"/>
      <c r="F8" s="2" t="s">
        <v>69</v>
      </c>
    </row>
    <row r="9" spans="1:6" x14ac:dyDescent="0.15">
      <c r="A9" s="2"/>
      <c r="B9" s="2" t="s">
        <v>70</v>
      </c>
      <c r="C9" s="2" t="s">
        <v>71</v>
      </c>
      <c r="D9" s="2" t="s">
        <v>61</v>
      </c>
      <c r="E9" s="2"/>
      <c r="F9" s="2" t="s">
        <v>72</v>
      </c>
    </row>
    <row r="10" spans="1:6" x14ac:dyDescent="0.15">
      <c r="A10" s="2"/>
      <c r="B10" s="2" t="s">
        <v>73</v>
      </c>
      <c r="C10" s="2" t="s">
        <v>74</v>
      </c>
      <c r="D10" s="2" t="s">
        <v>61</v>
      </c>
      <c r="E10" s="2"/>
      <c r="F10" s="2" t="s">
        <v>307</v>
      </c>
    </row>
    <row r="11" spans="1:6" x14ac:dyDescent="0.15">
      <c r="A11" s="2" t="s">
        <v>58</v>
      </c>
      <c r="B11" s="2" t="s">
        <v>76</v>
      </c>
      <c r="C11" s="2" t="s">
        <v>77</v>
      </c>
      <c r="D11" s="2" t="s">
        <v>61</v>
      </c>
      <c r="E11" s="2" t="s">
        <v>58</v>
      </c>
      <c r="F11" s="2" t="s">
        <v>78</v>
      </c>
    </row>
    <row r="12" spans="1:6" x14ac:dyDescent="0.15">
      <c r="A12" s="2" t="s">
        <v>58</v>
      </c>
      <c r="B12" s="2" t="s">
        <v>79</v>
      </c>
      <c r="C12" s="2" t="s">
        <v>80</v>
      </c>
      <c r="D12" s="2" t="s">
        <v>61</v>
      </c>
      <c r="E12" s="2" t="s">
        <v>58</v>
      </c>
      <c r="F12" s="2" t="s">
        <v>81</v>
      </c>
    </row>
    <row r="13" spans="1:6" x14ac:dyDescent="0.15">
      <c r="A13" s="2" t="s">
        <v>58</v>
      </c>
      <c r="B13" s="2" t="s">
        <v>82</v>
      </c>
      <c r="C13" s="2" t="s">
        <v>83</v>
      </c>
      <c r="D13" s="2" t="s">
        <v>61</v>
      </c>
      <c r="E13" s="2"/>
      <c r="F13" s="2" t="s">
        <v>84</v>
      </c>
    </row>
    <row r="14" spans="1:6" x14ac:dyDescent="0.15">
      <c r="A14" s="2" t="s">
        <v>58</v>
      </c>
      <c r="B14" s="2" t="s">
        <v>85</v>
      </c>
      <c r="C14" s="2" t="s">
        <v>86</v>
      </c>
      <c r="D14" s="2" t="s">
        <v>61</v>
      </c>
      <c r="E14" s="2"/>
      <c r="F14" s="2" t="s">
        <v>87</v>
      </c>
    </row>
    <row r="15" spans="1:6" x14ac:dyDescent="0.15">
      <c r="A15" s="2" t="s">
        <v>58</v>
      </c>
      <c r="B15" s="2" t="s">
        <v>88</v>
      </c>
      <c r="C15" s="2" t="s">
        <v>89</v>
      </c>
      <c r="D15" s="2" t="s">
        <v>61</v>
      </c>
      <c r="E15" s="2"/>
      <c r="F15" s="2" t="s">
        <v>90</v>
      </c>
    </row>
    <row r="16" spans="1:6" x14ac:dyDescent="0.15">
      <c r="A16" s="2" t="s">
        <v>58</v>
      </c>
      <c r="B16" s="2" t="s">
        <v>91</v>
      </c>
      <c r="C16" s="2" t="s">
        <v>92</v>
      </c>
      <c r="D16" s="2" t="s">
        <v>61</v>
      </c>
      <c r="E16" s="2" t="s">
        <v>58</v>
      </c>
      <c r="F16" s="2" t="s">
        <v>93</v>
      </c>
    </row>
    <row r="17" spans="1:6" x14ac:dyDescent="0.15">
      <c r="A17" s="2" t="s">
        <v>58</v>
      </c>
      <c r="B17" s="2" t="s">
        <v>52</v>
      </c>
      <c r="C17" s="2" t="s">
        <v>111</v>
      </c>
      <c r="D17" s="2" t="s">
        <v>36</v>
      </c>
      <c r="E17" s="2"/>
      <c r="F17" s="2" t="s">
        <v>308</v>
      </c>
    </row>
    <row r="18" spans="1:6" x14ac:dyDescent="0.15">
      <c r="A18" s="2"/>
      <c r="B18" s="2" t="s">
        <v>113</v>
      </c>
      <c r="C18" s="2" t="s">
        <v>114</v>
      </c>
      <c r="D18" s="2" t="s">
        <v>36</v>
      </c>
      <c r="E18" s="2"/>
      <c r="F18" s="2" t="s">
        <v>115</v>
      </c>
    </row>
    <row r="19" spans="1:6" x14ac:dyDescent="0.15">
      <c r="A19" s="2"/>
      <c r="B19" s="2" t="s">
        <v>116</v>
      </c>
      <c r="C19" s="2" t="s">
        <v>117</v>
      </c>
      <c r="D19" s="2" t="s">
        <v>36</v>
      </c>
      <c r="E19" s="2"/>
      <c r="F19" s="2" t="s">
        <v>118</v>
      </c>
    </row>
    <row r="20" spans="1:6" x14ac:dyDescent="0.15">
      <c r="A20" s="2"/>
      <c r="B20" s="2" t="s">
        <v>23</v>
      </c>
      <c r="C20" s="2" t="s">
        <v>309</v>
      </c>
      <c r="D20" s="2" t="s">
        <v>36</v>
      </c>
      <c r="E20" s="2"/>
      <c r="F20" s="2" t="s">
        <v>120</v>
      </c>
    </row>
    <row r="21" spans="1:6" x14ac:dyDescent="0.15">
      <c r="A21" s="2" t="s">
        <v>58</v>
      </c>
      <c r="B21" s="2" t="s">
        <v>310</v>
      </c>
      <c r="C21" s="2" t="s">
        <v>131</v>
      </c>
      <c r="D21" s="2" t="s">
        <v>36</v>
      </c>
      <c r="E21" s="2"/>
      <c r="F21" s="2" t="s">
        <v>311</v>
      </c>
    </row>
    <row r="22" spans="1:6" x14ac:dyDescent="0.15">
      <c r="A22" s="2"/>
      <c r="B22" s="2" t="s">
        <v>312</v>
      </c>
      <c r="C22" s="2" t="s">
        <v>313</v>
      </c>
      <c r="D22" s="2" t="s">
        <v>36</v>
      </c>
      <c r="E22" s="2"/>
      <c r="F22" s="2" t="s">
        <v>314</v>
      </c>
    </row>
    <row r="23" spans="1:6" x14ac:dyDescent="0.15">
      <c r="A23" s="2"/>
      <c r="B23" s="2" t="s">
        <v>315</v>
      </c>
      <c r="C23" s="2" t="s">
        <v>316</v>
      </c>
      <c r="D23" s="2" t="s">
        <v>36</v>
      </c>
      <c r="E23" s="2"/>
      <c r="F23" s="2" t="s">
        <v>317</v>
      </c>
    </row>
    <row r="24" spans="1:6" x14ac:dyDescent="0.15">
      <c r="A24" s="2"/>
      <c r="B24" s="2" t="s">
        <v>318</v>
      </c>
      <c r="C24" s="2" t="s">
        <v>319</v>
      </c>
      <c r="D24" s="2" t="s">
        <v>36</v>
      </c>
      <c r="E24" s="2"/>
      <c r="F24" s="2" t="s">
        <v>320</v>
      </c>
    </row>
    <row r="25" spans="1:6" x14ac:dyDescent="0.15">
      <c r="A25" s="2" t="s">
        <v>58</v>
      </c>
      <c r="B25" s="2" t="s">
        <v>321</v>
      </c>
      <c r="C25" s="2" t="s">
        <v>322</v>
      </c>
      <c r="D25" s="2" t="s">
        <v>36</v>
      </c>
      <c r="E25" s="2"/>
      <c r="F25" s="2" t="s">
        <v>323</v>
      </c>
    </row>
    <row r="26" spans="1:6" x14ac:dyDescent="0.15">
      <c r="A26" s="2"/>
      <c r="B26" s="2" t="s">
        <v>324</v>
      </c>
      <c r="C26" s="2" t="s">
        <v>325</v>
      </c>
      <c r="D26" s="2" t="s">
        <v>36</v>
      </c>
      <c r="E26" s="2"/>
      <c r="F26" s="2" t="s">
        <v>326</v>
      </c>
    </row>
    <row r="27" spans="1:6" x14ac:dyDescent="0.15">
      <c r="A27" s="2"/>
      <c r="B27" s="2" t="s">
        <v>327</v>
      </c>
      <c r="C27" s="2" t="s">
        <v>328</v>
      </c>
      <c r="D27" s="2" t="s">
        <v>36</v>
      </c>
      <c r="E27" s="2"/>
      <c r="F27" s="2" t="s">
        <v>329</v>
      </c>
    </row>
    <row r="28" spans="1:6" x14ac:dyDescent="0.15">
      <c r="A28" s="2"/>
      <c r="B28" s="2" t="s">
        <v>330</v>
      </c>
      <c r="C28" s="2" t="s">
        <v>331</v>
      </c>
      <c r="D28" s="2" t="s">
        <v>36</v>
      </c>
      <c r="E28" s="2"/>
      <c r="F28" s="2" t="s">
        <v>332</v>
      </c>
    </row>
    <row r="29" spans="1:6" x14ac:dyDescent="0.15">
      <c r="A29" s="2"/>
      <c r="B29" s="2" t="s">
        <v>333</v>
      </c>
      <c r="C29" s="2" t="s">
        <v>334</v>
      </c>
      <c r="D29" s="2" t="s">
        <v>36</v>
      </c>
      <c r="E29" s="2"/>
      <c r="F29" s="2" t="s">
        <v>335</v>
      </c>
    </row>
    <row r="30" spans="1:6" x14ac:dyDescent="0.15">
      <c r="A30" s="2" t="s">
        <v>58</v>
      </c>
      <c r="B30" s="2" t="s">
        <v>51</v>
      </c>
      <c r="C30" s="2" t="s">
        <v>336</v>
      </c>
      <c r="D30" s="2" t="s">
        <v>36</v>
      </c>
      <c r="E30" s="2"/>
      <c r="F30" s="2" t="s">
        <v>337</v>
      </c>
    </row>
    <row r="31" spans="1:6" x14ac:dyDescent="0.15">
      <c r="A31" s="2"/>
      <c r="B31" s="2" t="s">
        <v>338</v>
      </c>
      <c r="C31" s="2" t="s">
        <v>339</v>
      </c>
      <c r="D31" s="2" t="s">
        <v>36</v>
      </c>
      <c r="E31" s="2"/>
      <c r="F31" s="2" t="s">
        <v>340</v>
      </c>
    </row>
    <row r="32" spans="1:6" x14ac:dyDescent="0.15">
      <c r="A32" s="2"/>
      <c r="B32" s="2" t="s">
        <v>341</v>
      </c>
      <c r="C32" s="2" t="s">
        <v>342</v>
      </c>
      <c r="D32" s="2" t="s">
        <v>36</v>
      </c>
      <c r="E32" s="2"/>
      <c r="F32" s="2" t="s">
        <v>343</v>
      </c>
    </row>
    <row r="33" spans="1:6" x14ac:dyDescent="0.15">
      <c r="A33" s="2"/>
      <c r="B33" s="2" t="s">
        <v>344</v>
      </c>
      <c r="C33" s="2" t="s">
        <v>345</v>
      </c>
      <c r="D33" s="2" t="s">
        <v>36</v>
      </c>
      <c r="E33" s="2"/>
      <c r="F33" s="2" t="s">
        <v>346</v>
      </c>
    </row>
    <row r="34" spans="1:6" x14ac:dyDescent="0.15">
      <c r="A34" s="2"/>
      <c r="B34" s="2" t="s">
        <v>347</v>
      </c>
      <c r="C34" s="2" t="s">
        <v>348</v>
      </c>
      <c r="D34" s="2" t="s">
        <v>36</v>
      </c>
      <c r="E34" s="2"/>
      <c r="F34" s="2" t="s">
        <v>349</v>
      </c>
    </row>
    <row r="35" spans="1:6" x14ac:dyDescent="0.15">
      <c r="A35" s="2" t="s">
        <v>58</v>
      </c>
      <c r="B35" s="2" t="s">
        <v>350</v>
      </c>
      <c r="C35" s="2" t="s">
        <v>351</v>
      </c>
      <c r="D35" s="2" t="s">
        <v>36</v>
      </c>
      <c r="E35" s="2" t="s">
        <v>58</v>
      </c>
      <c r="F35" s="2" t="s">
        <v>352</v>
      </c>
    </row>
    <row r="36" spans="1:6" x14ac:dyDescent="0.15">
      <c r="A36" s="2" t="s">
        <v>58</v>
      </c>
      <c r="B36" s="2" t="s">
        <v>162</v>
      </c>
      <c r="C36" s="2" t="s">
        <v>353</v>
      </c>
      <c r="D36" s="2" t="s">
        <v>36</v>
      </c>
      <c r="E36" s="2" t="s">
        <v>58</v>
      </c>
      <c r="F36" s="2" t="s">
        <v>354</v>
      </c>
    </row>
    <row r="37" spans="1:6" x14ac:dyDescent="0.15">
      <c r="A37" s="2"/>
      <c r="B37" s="2" t="s">
        <v>355</v>
      </c>
      <c r="C37" s="2" t="s">
        <v>356</v>
      </c>
      <c r="D37" s="2" t="s">
        <v>36</v>
      </c>
      <c r="E37" s="2"/>
      <c r="F37" s="2" t="s">
        <v>357</v>
      </c>
    </row>
    <row r="38" spans="1:6" x14ac:dyDescent="0.15">
      <c r="A38" s="2"/>
      <c r="B38" s="2" t="s">
        <v>358</v>
      </c>
      <c r="C38" s="2" t="s">
        <v>359</v>
      </c>
      <c r="D38" s="2" t="s">
        <v>36</v>
      </c>
      <c r="E38" s="2"/>
      <c r="F38" s="2" t="s">
        <v>360</v>
      </c>
    </row>
    <row r="39" spans="1:6" x14ac:dyDescent="0.15">
      <c r="A39" s="2" t="s">
        <v>58</v>
      </c>
      <c r="B39" s="2" t="s">
        <v>180</v>
      </c>
      <c r="C39" s="2" t="s">
        <v>181</v>
      </c>
      <c r="D39" s="2" t="s">
        <v>36</v>
      </c>
      <c r="E39" s="2" t="s">
        <v>58</v>
      </c>
      <c r="F39" s="2" t="s">
        <v>361</v>
      </c>
    </row>
    <row r="40" spans="1:6" x14ac:dyDescent="0.15">
      <c r="A40" s="2" t="s">
        <v>58</v>
      </c>
      <c r="B40" s="2" t="s">
        <v>186</v>
      </c>
      <c r="C40" s="2" t="s">
        <v>187</v>
      </c>
      <c r="D40" s="2" t="s">
        <v>36</v>
      </c>
      <c r="E40" s="2"/>
      <c r="F40" s="2" t="s">
        <v>362</v>
      </c>
    </row>
    <row r="41" spans="1:6" x14ac:dyDescent="0.15">
      <c r="A41" s="2" t="s">
        <v>58</v>
      </c>
      <c r="B41" s="2" t="s">
        <v>195</v>
      </c>
      <c r="C41" s="2" t="s">
        <v>196</v>
      </c>
      <c r="D41" s="2" t="s">
        <v>36</v>
      </c>
      <c r="E41" s="2" t="s">
        <v>58</v>
      </c>
      <c r="F41" s="2" t="s">
        <v>363</v>
      </c>
    </row>
    <row r="42" spans="1:6" x14ac:dyDescent="0.15">
      <c r="A42" s="2"/>
      <c r="B42" s="2" t="s">
        <v>364</v>
      </c>
      <c r="C42" s="2" t="s">
        <v>365</v>
      </c>
      <c r="D42" s="2" t="s">
        <v>36</v>
      </c>
      <c r="E42" s="2"/>
      <c r="F42" s="2" t="s">
        <v>366</v>
      </c>
    </row>
    <row r="43" spans="1:6" x14ac:dyDescent="0.15">
      <c r="A43" s="2"/>
      <c r="B43" s="2" t="s">
        <v>367</v>
      </c>
      <c r="C43" s="2" t="s">
        <v>368</v>
      </c>
      <c r="D43" s="2" t="s">
        <v>36</v>
      </c>
      <c r="E43" s="2"/>
      <c r="F43" s="2" t="s">
        <v>369</v>
      </c>
    </row>
    <row r="44" spans="1:6" x14ac:dyDescent="0.15">
      <c r="A44" s="2" t="s">
        <v>58</v>
      </c>
      <c r="B44" s="2" t="s">
        <v>222</v>
      </c>
      <c r="C44" s="2" t="s">
        <v>223</v>
      </c>
      <c r="D44" s="2" t="s">
        <v>36</v>
      </c>
      <c r="E44" s="2" t="s">
        <v>58</v>
      </c>
      <c r="F44" s="2" t="s">
        <v>370</v>
      </c>
    </row>
    <row r="45" spans="1:6" x14ac:dyDescent="0.15">
      <c r="A45" s="2" t="s">
        <v>58</v>
      </c>
      <c r="B45" s="2" t="s">
        <v>189</v>
      </c>
      <c r="C45" s="2" t="s">
        <v>371</v>
      </c>
      <c r="D45" s="2" t="s">
        <v>36</v>
      </c>
      <c r="E45" s="2"/>
      <c r="F45" s="2" t="s">
        <v>372</v>
      </c>
    </row>
    <row r="46" spans="1:6" x14ac:dyDescent="0.15">
      <c r="A46" s="2" t="s">
        <v>58</v>
      </c>
      <c r="B46" s="2" t="s">
        <v>138</v>
      </c>
      <c r="C46" s="2" t="s">
        <v>47</v>
      </c>
      <c r="D46" s="2" t="s">
        <v>36</v>
      </c>
      <c r="E46" s="2" t="s">
        <v>58</v>
      </c>
      <c r="F46" s="2" t="s">
        <v>373</v>
      </c>
    </row>
    <row r="47" spans="1:6" x14ac:dyDescent="0.15">
      <c r="A47" s="2"/>
      <c r="B47" s="2" t="s">
        <v>374</v>
      </c>
      <c r="C47" s="2" t="s">
        <v>142</v>
      </c>
      <c r="D47" s="2" t="s">
        <v>36</v>
      </c>
      <c r="E47" s="2"/>
      <c r="F47" s="2" t="s">
        <v>5</v>
      </c>
    </row>
    <row r="48" spans="1:6" x14ac:dyDescent="0.15">
      <c r="A48" s="2"/>
      <c r="B48" s="2" t="s">
        <v>375</v>
      </c>
      <c r="C48" s="2" t="s">
        <v>376</v>
      </c>
      <c r="D48" s="2" t="s">
        <v>36</v>
      </c>
      <c r="E48" s="2"/>
      <c r="F48" s="2" t="s">
        <v>377</v>
      </c>
    </row>
    <row r="49" spans="1:6" x14ac:dyDescent="0.15">
      <c r="A49" s="2"/>
      <c r="B49" s="2" t="s">
        <v>378</v>
      </c>
      <c r="C49" s="2" t="s">
        <v>379</v>
      </c>
      <c r="D49" s="2" t="s">
        <v>36</v>
      </c>
      <c r="E49" s="2"/>
      <c r="F49" s="2" t="s">
        <v>380</v>
      </c>
    </row>
    <row r="50" spans="1:6" x14ac:dyDescent="0.15">
      <c r="A50" s="2" t="s">
        <v>58</v>
      </c>
      <c r="B50" s="2" t="s">
        <v>381</v>
      </c>
      <c r="C50" s="2" t="s">
        <v>382</v>
      </c>
      <c r="D50" s="2" t="s">
        <v>36</v>
      </c>
      <c r="E50" s="2" t="s">
        <v>58</v>
      </c>
      <c r="F50" s="2" t="s">
        <v>383</v>
      </c>
    </row>
    <row r="51" spans="1:6" x14ac:dyDescent="0.15">
      <c r="A51" s="2" t="s">
        <v>58</v>
      </c>
      <c r="B51" s="2" t="s">
        <v>384</v>
      </c>
      <c r="C51" s="2" t="s">
        <v>385</v>
      </c>
      <c r="D51" s="2" t="s">
        <v>36</v>
      </c>
      <c r="E51" s="2" t="s">
        <v>58</v>
      </c>
      <c r="F51" s="2" t="s">
        <v>386</v>
      </c>
    </row>
    <row r="52" spans="1:6" x14ac:dyDescent="0.15">
      <c r="A52" s="2" t="s">
        <v>58</v>
      </c>
      <c r="B52" s="2" t="s">
        <v>387</v>
      </c>
      <c r="C52" s="2" t="s">
        <v>388</v>
      </c>
      <c r="D52" s="2" t="s">
        <v>36</v>
      </c>
      <c r="E52" s="2"/>
      <c r="F52" s="2" t="s">
        <v>389</v>
      </c>
    </row>
    <row r="53" spans="1:6" x14ac:dyDescent="0.15">
      <c r="A53" s="2" t="s">
        <v>58</v>
      </c>
      <c r="B53" s="2" t="s">
        <v>390</v>
      </c>
      <c r="C53" s="2" t="s">
        <v>391</v>
      </c>
      <c r="D53" s="2" t="s">
        <v>36</v>
      </c>
      <c r="E53" s="2" t="s">
        <v>58</v>
      </c>
      <c r="F53" s="2" t="s">
        <v>392</v>
      </c>
    </row>
    <row r="54" spans="1:6" x14ac:dyDescent="0.15">
      <c r="A54" s="2" t="s">
        <v>58</v>
      </c>
      <c r="B54" s="2" t="s">
        <v>393</v>
      </c>
      <c r="C54" s="2" t="s">
        <v>394</v>
      </c>
      <c r="D54" s="2" t="s">
        <v>36</v>
      </c>
      <c r="E54" s="2"/>
      <c r="F54" s="2" t="s">
        <v>275</v>
      </c>
    </row>
    <row r="55" spans="1:6" x14ac:dyDescent="0.15">
      <c r="A55" s="2" t="s">
        <v>58</v>
      </c>
      <c r="B55" s="2" t="s">
        <v>395</v>
      </c>
      <c r="C55" s="2" t="s">
        <v>193</v>
      </c>
      <c r="D55" s="2" t="s">
        <v>36</v>
      </c>
      <c r="E55" s="2"/>
      <c r="F55" s="2" t="s">
        <v>396</v>
      </c>
    </row>
    <row r="56" spans="1:6" x14ac:dyDescent="0.15">
      <c r="A56" s="2" t="s">
        <v>58</v>
      </c>
      <c r="B56" s="2" t="s">
        <v>397</v>
      </c>
      <c r="C56" s="2" t="s">
        <v>398</v>
      </c>
      <c r="D56" s="2" t="s">
        <v>36</v>
      </c>
      <c r="E56" s="2"/>
      <c r="F56" s="2" t="s">
        <v>399</v>
      </c>
    </row>
    <row r="57" spans="1:6" x14ac:dyDescent="0.15">
      <c r="A57" s="2" t="s">
        <v>58</v>
      </c>
      <c r="B57" s="2" t="s">
        <v>282</v>
      </c>
      <c r="C57" s="2" t="s">
        <v>400</v>
      </c>
      <c r="D57" s="2" t="s">
        <v>36</v>
      </c>
      <c r="E57" s="2"/>
      <c r="F57" s="2" t="s">
        <v>283</v>
      </c>
    </row>
    <row r="58" spans="1:6" x14ac:dyDescent="0.15">
      <c r="A58" s="2" t="s">
        <v>58</v>
      </c>
      <c r="B58" s="2" t="s">
        <v>401</v>
      </c>
      <c r="C58" s="2" t="s">
        <v>402</v>
      </c>
      <c r="D58" s="2" t="s">
        <v>36</v>
      </c>
      <c r="E58" s="2" t="s">
        <v>58</v>
      </c>
      <c r="F58" s="2" t="s">
        <v>403</v>
      </c>
    </row>
    <row r="59" spans="1:6" x14ac:dyDescent="0.15">
      <c r="A59" s="2" t="s">
        <v>58</v>
      </c>
      <c r="B59" s="2" t="s">
        <v>404</v>
      </c>
      <c r="C59" s="2" t="s">
        <v>405</v>
      </c>
      <c r="D59" s="2" t="s">
        <v>36</v>
      </c>
      <c r="E59" s="2" t="s">
        <v>58</v>
      </c>
      <c r="F59" s="2" t="s">
        <v>406</v>
      </c>
    </row>
    <row r="60" spans="1:6" x14ac:dyDescent="0.15">
      <c r="A60" s="2" t="s">
        <v>58</v>
      </c>
      <c r="B60" s="2" t="s">
        <v>407</v>
      </c>
      <c r="C60" s="2" t="s">
        <v>408</v>
      </c>
      <c r="D60" s="2" t="s">
        <v>36</v>
      </c>
      <c r="E60" s="2"/>
      <c r="F60" s="2" t="s">
        <v>408</v>
      </c>
    </row>
    <row r="61" spans="1:6" x14ac:dyDescent="0.15">
      <c r="A61" s="2" t="s">
        <v>58</v>
      </c>
      <c r="B61" s="2" t="s">
        <v>409</v>
      </c>
      <c r="C61" s="2" t="s">
        <v>410</v>
      </c>
      <c r="D61" s="2" t="s">
        <v>36</v>
      </c>
      <c r="E61" s="2" t="s">
        <v>58</v>
      </c>
      <c r="F61" s="2" t="s">
        <v>411</v>
      </c>
    </row>
    <row r="62" spans="1:6" x14ac:dyDescent="0.15">
      <c r="A62" s="2"/>
      <c r="B62" s="2" t="s">
        <v>412</v>
      </c>
      <c r="C62" s="2" t="s">
        <v>413</v>
      </c>
      <c r="D62" s="2" t="s">
        <v>36</v>
      </c>
      <c r="E62" s="2" t="s">
        <v>58</v>
      </c>
      <c r="F62" s="2" t="s">
        <v>414</v>
      </c>
    </row>
    <row r="63" spans="1:6" x14ac:dyDescent="0.15">
      <c r="A63" s="2"/>
      <c r="B63" s="2" t="s">
        <v>415</v>
      </c>
      <c r="C63" s="2" t="s">
        <v>416</v>
      </c>
      <c r="D63" s="2" t="s">
        <v>36</v>
      </c>
      <c r="E63" s="2" t="s">
        <v>58</v>
      </c>
      <c r="F63" s="2" t="s">
        <v>417</v>
      </c>
    </row>
  </sheetData>
  <phoneticPr fontId="8"/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Roman,標準"&amp;12&amp;A</oddHeader>
    <oddFooter>&amp;C&amp;"Times New Roman,標準"&amp;12ページ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2"/>
  <sheetViews>
    <sheetView topLeftCell="D1" zoomScaleNormal="100" workbookViewId="0">
      <selection activeCell="K4" sqref="K4"/>
    </sheetView>
  </sheetViews>
  <sheetFormatPr defaultRowHeight="13.5" x14ac:dyDescent="0.15"/>
  <cols>
    <col min="1" max="1" width="9" customWidth="1"/>
    <col min="2" max="2" width="9.125" customWidth="1"/>
    <col min="3" max="3" width="11.375" customWidth="1"/>
    <col min="4" max="4" width="8.75" customWidth="1"/>
    <col min="5" max="5" width="7.125" customWidth="1"/>
    <col min="6" max="6" width="8.375" customWidth="1"/>
    <col min="7" max="7" width="10.875" customWidth="1"/>
    <col min="8" max="8" width="8.25" customWidth="1"/>
    <col min="9" max="9" width="9.5" customWidth="1"/>
    <col min="10" max="10" width="8.75" customWidth="1"/>
    <col min="11" max="11" width="10.375" customWidth="1"/>
    <col min="12" max="12" width="9.75" customWidth="1"/>
    <col min="13" max="13" width="25.875" customWidth="1"/>
    <col min="14" max="14" width="12.75" customWidth="1"/>
    <col min="15" max="15" width="14.875" customWidth="1"/>
    <col min="16" max="17" width="12" customWidth="1"/>
    <col min="18" max="18" width="7.375" customWidth="1"/>
    <col min="19" max="20" width="9.5" customWidth="1"/>
    <col min="21" max="21" width="9.125" customWidth="1"/>
    <col min="22" max="22" width="26.625" customWidth="1"/>
    <col min="23" max="1025" width="8.75" customWidth="1"/>
  </cols>
  <sheetData>
    <row r="1" spans="1:22" x14ac:dyDescent="0.15">
      <c r="A1" s="9" t="s">
        <v>55</v>
      </c>
      <c r="B1" s="9" t="s">
        <v>61</v>
      </c>
      <c r="C1" s="9" t="s">
        <v>61</v>
      </c>
      <c r="D1" s="9" t="s">
        <v>61</v>
      </c>
      <c r="E1" s="9" t="s">
        <v>29</v>
      </c>
      <c r="F1" s="9" t="s">
        <v>29</v>
      </c>
      <c r="G1" s="9" t="s">
        <v>29</v>
      </c>
      <c r="H1" s="9" t="s">
        <v>29</v>
      </c>
      <c r="I1" s="9" t="s">
        <v>29</v>
      </c>
      <c r="J1" s="9" t="s">
        <v>29</v>
      </c>
      <c r="K1" s="9" t="s">
        <v>29</v>
      </c>
      <c r="L1" s="9" t="s">
        <v>29</v>
      </c>
      <c r="M1" s="9" t="s">
        <v>29</v>
      </c>
      <c r="N1" s="9" t="s">
        <v>29</v>
      </c>
      <c r="O1" s="9" t="s">
        <v>29</v>
      </c>
      <c r="P1" s="9" t="s">
        <v>29</v>
      </c>
      <c r="Q1" s="9" t="s">
        <v>29</v>
      </c>
      <c r="R1" s="9" t="s">
        <v>29</v>
      </c>
      <c r="S1" s="9" t="s">
        <v>29</v>
      </c>
      <c r="T1" s="9" t="s">
        <v>29</v>
      </c>
      <c r="U1" s="9" t="s">
        <v>29</v>
      </c>
      <c r="V1" s="9" t="s">
        <v>29</v>
      </c>
    </row>
    <row r="2" spans="1:22" x14ac:dyDescent="0.15">
      <c r="A2" s="9" t="s">
        <v>15</v>
      </c>
      <c r="B2" s="9" t="s">
        <v>27</v>
      </c>
      <c r="C2" s="9" t="s">
        <v>28</v>
      </c>
      <c r="D2" s="9" t="s">
        <v>70</v>
      </c>
      <c r="E2" s="9" t="s">
        <v>101</v>
      </c>
      <c r="F2" s="9" t="s">
        <v>51</v>
      </c>
      <c r="G2" s="9" t="s">
        <v>109</v>
      </c>
      <c r="H2" s="9" t="s">
        <v>104</v>
      </c>
      <c r="I2" s="9" t="s">
        <v>23</v>
      </c>
      <c r="J2" s="9" t="s">
        <v>124</v>
      </c>
      <c r="K2" s="9" t="s">
        <v>24</v>
      </c>
      <c r="L2" s="9" t="s">
        <v>418</v>
      </c>
      <c r="M2" s="9" t="s">
        <v>419</v>
      </c>
      <c r="N2" s="9" t="s">
        <v>420</v>
      </c>
      <c r="O2" s="9" t="s">
        <v>421</v>
      </c>
      <c r="P2" s="9" t="s">
        <v>422</v>
      </c>
      <c r="Q2" s="9" t="s">
        <v>423</v>
      </c>
      <c r="R2" s="9" t="s">
        <v>424</v>
      </c>
      <c r="S2" s="9" t="s">
        <v>425</v>
      </c>
      <c r="T2" s="9" t="s">
        <v>426</v>
      </c>
      <c r="U2" s="9" t="s">
        <v>291</v>
      </c>
      <c r="V2" s="9" t="s">
        <v>427</v>
      </c>
    </row>
    <row r="3" spans="1:22" ht="14.25" x14ac:dyDescent="0.15">
      <c r="A3" s="3">
        <v>1</v>
      </c>
      <c r="B3" s="10">
        <v>1</v>
      </c>
      <c r="C3" s="10">
        <v>2</v>
      </c>
      <c r="D3" s="10"/>
      <c r="E3" s="10">
        <v>2.6</v>
      </c>
      <c r="F3" s="10" t="s">
        <v>428</v>
      </c>
      <c r="G3" s="10">
        <v>6.7</v>
      </c>
      <c r="H3" s="10" t="s">
        <v>429</v>
      </c>
      <c r="I3" s="10">
        <v>1</v>
      </c>
      <c r="J3" s="10">
        <v>1</v>
      </c>
      <c r="K3" s="10">
        <v>4000</v>
      </c>
      <c r="L3" s="11" t="s">
        <v>430</v>
      </c>
      <c r="M3" s="11" t="s">
        <v>31</v>
      </c>
      <c r="N3" s="10" t="s">
        <v>431</v>
      </c>
      <c r="O3" s="10" t="s">
        <v>432</v>
      </c>
      <c r="P3" s="12" t="s">
        <v>433</v>
      </c>
      <c r="Q3" s="10" t="s">
        <v>434</v>
      </c>
      <c r="R3" s="10" t="s">
        <v>435</v>
      </c>
      <c r="S3" s="10" t="s">
        <v>436</v>
      </c>
      <c r="T3" s="10" t="s">
        <v>437</v>
      </c>
      <c r="U3" s="10" t="s">
        <v>438</v>
      </c>
      <c r="V3" s="10" t="s">
        <v>439</v>
      </c>
    </row>
    <row r="4" spans="1:22" ht="14.25" x14ac:dyDescent="0.15">
      <c r="A4" s="3">
        <f t="shared" ref="A4:A35" si="0">A3+1</f>
        <v>2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1" t="s">
        <v>440</v>
      </c>
      <c r="M4" s="11" t="s">
        <v>441</v>
      </c>
      <c r="N4" s="10"/>
      <c r="O4" s="10"/>
      <c r="P4" s="12" t="s">
        <v>442</v>
      </c>
      <c r="Q4" s="10" t="s">
        <v>443</v>
      </c>
      <c r="R4" s="10"/>
      <c r="S4" s="10" t="s">
        <v>444</v>
      </c>
      <c r="T4" s="10" t="s">
        <v>445</v>
      </c>
      <c r="U4" s="10"/>
      <c r="V4" s="10" t="s">
        <v>446</v>
      </c>
    </row>
    <row r="5" spans="1:22" ht="14.25" x14ac:dyDescent="0.15">
      <c r="A5" s="3">
        <f t="shared" si="0"/>
        <v>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 t="s">
        <v>447</v>
      </c>
    </row>
    <row r="6" spans="1:22" ht="14.25" x14ac:dyDescent="0.15">
      <c r="A6" s="3">
        <f t="shared" si="0"/>
        <v>4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 t="s">
        <v>448</v>
      </c>
    </row>
    <row r="7" spans="1:22" ht="14.25" x14ac:dyDescent="0.15">
      <c r="A7" s="3">
        <f t="shared" si="0"/>
        <v>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 t="s">
        <v>449</v>
      </c>
    </row>
    <row r="8" spans="1:22" ht="14.25" x14ac:dyDescent="0.15">
      <c r="A8" s="3">
        <f t="shared" si="0"/>
        <v>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 t="s">
        <v>450</v>
      </c>
    </row>
    <row r="9" spans="1:22" ht="14.25" x14ac:dyDescent="0.15">
      <c r="A9" s="3">
        <f t="shared" si="0"/>
        <v>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 t="s">
        <v>451</v>
      </c>
    </row>
    <row r="10" spans="1:22" ht="14.25" x14ac:dyDescent="0.15">
      <c r="A10" s="3">
        <f t="shared" si="0"/>
        <v>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 t="s">
        <v>452</v>
      </c>
    </row>
    <row r="11" spans="1:22" ht="14.25" x14ac:dyDescent="0.15">
      <c r="A11" s="3">
        <f t="shared" si="0"/>
        <v>9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 t="s">
        <v>453</v>
      </c>
    </row>
    <row r="12" spans="1:22" ht="14.25" x14ac:dyDescent="0.15">
      <c r="A12" s="3">
        <f t="shared" si="0"/>
        <v>10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 t="s">
        <v>454</v>
      </c>
    </row>
    <row r="13" spans="1:22" ht="14.25" x14ac:dyDescent="0.15">
      <c r="A13" s="3">
        <f t="shared" si="0"/>
        <v>11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 t="s">
        <v>455</v>
      </c>
    </row>
    <row r="14" spans="1:22" ht="14.25" x14ac:dyDescent="0.15">
      <c r="A14" s="3">
        <f t="shared" si="0"/>
        <v>12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</row>
    <row r="15" spans="1:22" ht="14.25" x14ac:dyDescent="0.15">
      <c r="A15" s="3">
        <f t="shared" si="0"/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</row>
    <row r="16" spans="1:22" ht="14.25" x14ac:dyDescent="0.15">
      <c r="A16" s="3">
        <f t="shared" si="0"/>
        <v>14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1:22" ht="14.25" x14ac:dyDescent="0.15">
      <c r="A17" s="3">
        <f t="shared" si="0"/>
        <v>15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1:22" ht="14.25" x14ac:dyDescent="0.15">
      <c r="A18" s="3">
        <f t="shared" si="0"/>
        <v>16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</row>
    <row r="19" spans="1:22" ht="14.25" x14ac:dyDescent="0.15">
      <c r="A19" s="3">
        <f t="shared" si="0"/>
        <v>17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</row>
    <row r="20" spans="1:22" ht="14.25" x14ac:dyDescent="0.15">
      <c r="A20" s="3">
        <f t="shared" si="0"/>
        <v>18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</row>
    <row r="21" spans="1:22" ht="14.25" x14ac:dyDescent="0.15">
      <c r="A21" s="3">
        <f t="shared" si="0"/>
        <v>19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</row>
    <row r="22" spans="1:22" ht="14.25" x14ac:dyDescent="0.15">
      <c r="A22" s="3">
        <f t="shared" si="0"/>
        <v>20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</row>
    <row r="23" spans="1:22" x14ac:dyDescent="0.15">
      <c r="A23" s="3">
        <f t="shared" si="0"/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11"/>
      <c r="M23" s="11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15">
      <c r="A24" s="3">
        <f t="shared" si="0"/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11"/>
      <c r="M24" s="11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15">
      <c r="A25" s="3">
        <f t="shared" si="0"/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15">
      <c r="A26" s="3">
        <f t="shared" si="0"/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x14ac:dyDescent="0.15">
      <c r="A27" s="3">
        <f t="shared" si="0"/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x14ac:dyDescent="0.15">
      <c r="A28" s="3">
        <f t="shared" si="0"/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x14ac:dyDescent="0.15">
      <c r="A29" s="3">
        <f t="shared" si="0"/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x14ac:dyDescent="0.15">
      <c r="A30" s="3">
        <f t="shared" si="0"/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2" x14ac:dyDescent="0.15">
      <c r="A31" s="3">
        <f t="shared" si="0"/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spans="1:22" x14ac:dyDescent="0.15">
      <c r="A32" s="3">
        <f t="shared" si="0"/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x14ac:dyDescent="0.15">
      <c r="A33" s="3">
        <f t="shared" si="0"/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x14ac:dyDescent="0.15">
      <c r="A34" s="3">
        <f t="shared" si="0"/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x14ac:dyDescent="0.15">
      <c r="A35" s="3">
        <f t="shared" si="0"/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15">
      <c r="A36" s="3">
        <f t="shared" ref="A36:A67" si="1">A35+1</f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15">
      <c r="A37" s="3">
        <f t="shared" si="1"/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15">
      <c r="A38" s="3">
        <f t="shared" si="1"/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15">
      <c r="A39" s="3">
        <f t="shared" si="1"/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15">
      <c r="A40" s="3">
        <f t="shared" si="1"/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15">
      <c r="A41" s="3">
        <f t="shared" si="1"/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spans="1:22" x14ac:dyDescent="0.15">
      <c r="A42" s="3">
        <f t="shared" si="1"/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spans="1:22" x14ac:dyDescent="0.15">
      <c r="A43" s="3">
        <f t="shared" si="1"/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spans="1:22" x14ac:dyDescent="0.15">
      <c r="A44" s="3">
        <f t="shared" si="1"/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spans="1:22" x14ac:dyDescent="0.15">
      <c r="A45" s="3">
        <f t="shared" si="1"/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spans="1:22" x14ac:dyDescent="0.15">
      <c r="A46" s="3">
        <f t="shared" si="1"/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spans="1:22" x14ac:dyDescent="0.15">
      <c r="A47" s="3">
        <f t="shared" si="1"/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spans="1:22" x14ac:dyDescent="0.15">
      <c r="A48" s="3">
        <f t="shared" si="1"/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spans="1:22" x14ac:dyDescent="0.15">
      <c r="A49" s="3">
        <f t="shared" si="1"/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x14ac:dyDescent="0.15">
      <c r="A50" s="3">
        <f t="shared" si="1"/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x14ac:dyDescent="0.15">
      <c r="A51" s="3">
        <f t="shared" si="1"/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x14ac:dyDescent="0.15">
      <c r="A52" s="3">
        <f t="shared" si="1"/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x14ac:dyDescent="0.15">
      <c r="A53" s="3">
        <f t="shared" si="1"/>
        <v>51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x14ac:dyDescent="0.15">
      <c r="A54" s="3">
        <f t="shared" si="1"/>
        <v>52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x14ac:dyDescent="0.15">
      <c r="A55" s="3">
        <f t="shared" si="1"/>
        <v>53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x14ac:dyDescent="0.15">
      <c r="A56" s="3">
        <f t="shared" si="1"/>
        <v>54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x14ac:dyDescent="0.15">
      <c r="A57" s="3">
        <f t="shared" si="1"/>
        <v>55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x14ac:dyDescent="0.15">
      <c r="A58" s="3">
        <f t="shared" si="1"/>
        <v>56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x14ac:dyDescent="0.15">
      <c r="A59" s="3">
        <f t="shared" si="1"/>
        <v>57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x14ac:dyDescent="0.15">
      <c r="A60" s="3">
        <f t="shared" si="1"/>
        <v>58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x14ac:dyDescent="0.15">
      <c r="A61" s="3">
        <f t="shared" si="1"/>
        <v>59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x14ac:dyDescent="0.15">
      <c r="A62" s="3">
        <f t="shared" si="1"/>
        <v>60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x14ac:dyDescent="0.15">
      <c r="A63" s="3">
        <f t="shared" si="1"/>
        <v>61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x14ac:dyDescent="0.15">
      <c r="A64" s="3">
        <f t="shared" si="1"/>
        <v>62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x14ac:dyDescent="0.15">
      <c r="A65" s="3">
        <f t="shared" si="1"/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x14ac:dyDescent="0.15">
      <c r="A66" s="3">
        <f t="shared" si="1"/>
        <v>64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x14ac:dyDescent="0.15">
      <c r="A67" s="3">
        <f t="shared" si="1"/>
        <v>65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x14ac:dyDescent="0.15">
      <c r="A68" s="3">
        <f t="shared" ref="A68:A102" si="2">A67+1</f>
        <v>66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x14ac:dyDescent="0.15">
      <c r="A69" s="3">
        <f t="shared" si="2"/>
        <v>67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x14ac:dyDescent="0.15">
      <c r="A70" s="3">
        <f t="shared" si="2"/>
        <v>68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x14ac:dyDescent="0.15">
      <c r="A71" s="3">
        <f t="shared" si="2"/>
        <v>69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x14ac:dyDescent="0.15">
      <c r="A72" s="3">
        <f t="shared" si="2"/>
        <v>70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x14ac:dyDescent="0.15">
      <c r="A73" s="3">
        <f t="shared" si="2"/>
        <v>71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x14ac:dyDescent="0.15">
      <c r="A74" s="3">
        <f t="shared" si="2"/>
        <v>72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x14ac:dyDescent="0.15">
      <c r="A75" s="3">
        <f t="shared" si="2"/>
        <v>73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x14ac:dyDescent="0.15">
      <c r="A76" s="3">
        <f t="shared" si="2"/>
        <v>74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x14ac:dyDescent="0.15">
      <c r="A77" s="3">
        <f t="shared" si="2"/>
        <v>75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x14ac:dyDescent="0.15">
      <c r="A78" s="3">
        <f t="shared" si="2"/>
        <v>76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x14ac:dyDescent="0.15">
      <c r="A79" s="3">
        <f t="shared" si="2"/>
        <v>77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x14ac:dyDescent="0.15">
      <c r="A80" s="3">
        <f t="shared" si="2"/>
        <v>78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x14ac:dyDescent="0.15">
      <c r="A81" s="3">
        <f t="shared" si="2"/>
        <v>79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x14ac:dyDescent="0.15">
      <c r="A82" s="3">
        <f t="shared" si="2"/>
        <v>80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x14ac:dyDescent="0.15">
      <c r="A83" s="3">
        <f t="shared" si="2"/>
        <v>81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x14ac:dyDescent="0.15">
      <c r="A84" s="3">
        <f t="shared" si="2"/>
        <v>82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x14ac:dyDescent="0.15">
      <c r="A85" s="3">
        <f t="shared" si="2"/>
        <v>83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x14ac:dyDescent="0.15">
      <c r="A86" s="3">
        <f t="shared" si="2"/>
        <v>84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x14ac:dyDescent="0.15">
      <c r="A87" s="3">
        <f t="shared" si="2"/>
        <v>85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x14ac:dyDescent="0.15">
      <c r="A88" s="3">
        <f t="shared" si="2"/>
        <v>86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x14ac:dyDescent="0.15">
      <c r="A89" s="3">
        <f t="shared" si="2"/>
        <v>87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x14ac:dyDescent="0.15">
      <c r="A90" s="3">
        <f t="shared" si="2"/>
        <v>88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x14ac:dyDescent="0.15">
      <c r="A91" s="3">
        <f t="shared" si="2"/>
        <v>89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x14ac:dyDescent="0.15">
      <c r="A92" s="3">
        <f t="shared" si="2"/>
        <v>90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x14ac:dyDescent="0.15">
      <c r="A93" s="3">
        <f t="shared" si="2"/>
        <v>91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x14ac:dyDescent="0.15">
      <c r="A94" s="3">
        <f t="shared" si="2"/>
        <v>92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x14ac:dyDescent="0.15">
      <c r="A95" s="3">
        <f t="shared" si="2"/>
        <v>93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x14ac:dyDescent="0.15">
      <c r="A96" s="3">
        <f t="shared" si="2"/>
        <v>94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x14ac:dyDescent="0.15">
      <c r="A97" s="3">
        <f t="shared" si="2"/>
        <v>95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x14ac:dyDescent="0.15">
      <c r="A98" s="3">
        <f t="shared" si="2"/>
        <v>96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x14ac:dyDescent="0.15">
      <c r="A99" s="3">
        <f t="shared" si="2"/>
        <v>97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x14ac:dyDescent="0.15">
      <c r="A100" s="3">
        <f t="shared" si="2"/>
        <v>98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x14ac:dyDescent="0.15">
      <c r="A101" s="3">
        <f t="shared" si="2"/>
        <v>99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x14ac:dyDescent="0.15">
      <c r="A102" s="3">
        <f t="shared" si="2"/>
        <v>100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</sheetData>
  <phoneticPr fontId="8"/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 r:id="rId1"/>
  <headerFooter>
    <oddHeader>&amp;C&amp;"Times New Roman,標準"&amp;12&amp;A</oddHeader>
    <oddFooter>&amp;C&amp;"Times New Roman,標準"&amp;12ページ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2"/>
  <sheetViews>
    <sheetView topLeftCell="N1" zoomScaleNormal="100" workbookViewId="0">
      <selection activeCell="V3" sqref="V3"/>
    </sheetView>
  </sheetViews>
  <sheetFormatPr defaultRowHeight="13.5" x14ac:dyDescent="0.15"/>
  <cols>
    <col min="1" max="1" width="9" customWidth="1"/>
    <col min="2" max="2" width="9.125" customWidth="1"/>
    <col min="3" max="3" width="11.375" customWidth="1"/>
    <col min="4" max="4" width="8.75" customWidth="1"/>
    <col min="5" max="5" width="7.125" customWidth="1"/>
    <col min="6" max="6" width="8.375" customWidth="1"/>
    <col min="7" max="7" width="10.875" customWidth="1"/>
    <col min="8" max="8" width="8.25" customWidth="1"/>
    <col min="9" max="9" width="9.5" customWidth="1"/>
    <col min="10" max="10" width="8.75" customWidth="1"/>
    <col min="11" max="11" width="10.375" customWidth="1"/>
    <col min="12" max="12" width="9.75" customWidth="1"/>
    <col min="13" max="13" width="25.875" customWidth="1"/>
    <col min="14" max="14" width="12.75" customWidth="1"/>
    <col min="15" max="15" width="14.875" customWidth="1"/>
    <col min="16" max="17" width="12" customWidth="1"/>
    <col min="18" max="18" width="7.375" customWidth="1"/>
    <col min="19" max="20" width="9.5" customWidth="1"/>
    <col min="21" max="21" width="9.125" customWidth="1"/>
    <col min="22" max="22" width="26.625" customWidth="1"/>
    <col min="23" max="1025" width="8.75" customWidth="1"/>
  </cols>
  <sheetData>
    <row r="1" spans="1:22" x14ac:dyDescent="0.15">
      <c r="A1" s="9" t="s">
        <v>55</v>
      </c>
      <c r="B1" s="9" t="s">
        <v>61</v>
      </c>
      <c r="C1" s="9" t="s">
        <v>61</v>
      </c>
      <c r="D1" s="9" t="s">
        <v>61</v>
      </c>
      <c r="E1" s="9" t="s">
        <v>29</v>
      </c>
      <c r="F1" s="9" t="s">
        <v>29</v>
      </c>
      <c r="G1" s="9" t="s">
        <v>29</v>
      </c>
      <c r="H1" s="9" t="s">
        <v>29</v>
      </c>
      <c r="I1" s="9" t="s">
        <v>29</v>
      </c>
      <c r="J1" s="9" t="s">
        <v>29</v>
      </c>
      <c r="K1" s="9" t="s">
        <v>29</v>
      </c>
      <c r="L1" s="9" t="s">
        <v>29</v>
      </c>
      <c r="M1" s="9" t="s">
        <v>29</v>
      </c>
      <c r="N1" s="9" t="s">
        <v>29</v>
      </c>
      <c r="O1" s="9" t="s">
        <v>29</v>
      </c>
      <c r="P1" s="9" t="s">
        <v>29</v>
      </c>
      <c r="Q1" s="9" t="s">
        <v>29</v>
      </c>
      <c r="R1" s="9" t="s">
        <v>29</v>
      </c>
      <c r="S1" s="9" t="s">
        <v>29</v>
      </c>
      <c r="T1" s="9" t="s">
        <v>29</v>
      </c>
      <c r="U1" s="9" t="s">
        <v>29</v>
      </c>
      <c r="V1" s="9" t="s">
        <v>29</v>
      </c>
    </row>
    <row r="2" spans="1:22" x14ac:dyDescent="0.15">
      <c r="A2" s="9" t="s">
        <v>15</v>
      </c>
      <c r="B2" s="9" t="s">
        <v>27</v>
      </c>
      <c r="C2" s="9" t="s">
        <v>28</v>
      </c>
      <c r="D2" s="9" t="s">
        <v>70</v>
      </c>
      <c r="E2" s="9" t="s">
        <v>101</v>
      </c>
      <c r="F2" s="9" t="s">
        <v>51</v>
      </c>
      <c r="G2" s="9" t="s">
        <v>109</v>
      </c>
      <c r="H2" s="9" t="s">
        <v>104</v>
      </c>
      <c r="I2" s="9" t="s">
        <v>23</v>
      </c>
      <c r="J2" s="9" t="s">
        <v>124</v>
      </c>
      <c r="K2" s="9" t="s">
        <v>24</v>
      </c>
      <c r="L2" s="9" t="s">
        <v>418</v>
      </c>
      <c r="M2" s="9" t="s">
        <v>419</v>
      </c>
      <c r="N2" s="9" t="s">
        <v>420</v>
      </c>
      <c r="O2" s="9" t="s">
        <v>421</v>
      </c>
      <c r="P2" s="9" t="s">
        <v>422</v>
      </c>
      <c r="Q2" s="9" t="s">
        <v>423</v>
      </c>
      <c r="R2" s="9" t="s">
        <v>424</v>
      </c>
      <c r="S2" s="9" t="s">
        <v>425</v>
      </c>
      <c r="T2" s="9" t="s">
        <v>426</v>
      </c>
      <c r="U2" s="9" t="s">
        <v>291</v>
      </c>
      <c r="V2" s="9" t="s">
        <v>427</v>
      </c>
    </row>
    <row r="3" spans="1:22" ht="14.25" x14ac:dyDescent="0.15">
      <c r="A3" s="3">
        <v>1</v>
      </c>
      <c r="B3" s="10">
        <v>1</v>
      </c>
      <c r="C3" s="10">
        <v>2</v>
      </c>
      <c r="D3" s="10"/>
      <c r="E3" s="10" t="s">
        <v>456</v>
      </c>
      <c r="F3" s="10" t="s">
        <v>428</v>
      </c>
      <c r="G3" s="10">
        <v>6.7</v>
      </c>
      <c r="H3" s="10" t="s">
        <v>429</v>
      </c>
      <c r="I3" s="10">
        <v>1</v>
      </c>
      <c r="J3" s="10">
        <v>1</v>
      </c>
      <c r="K3" s="10">
        <v>2000</v>
      </c>
      <c r="L3" s="11" t="s">
        <v>457</v>
      </c>
      <c r="M3" s="11" t="s">
        <v>34</v>
      </c>
      <c r="N3" s="10" t="s">
        <v>457</v>
      </c>
      <c r="O3" s="10" t="s">
        <v>432</v>
      </c>
      <c r="P3" s="12" t="s">
        <v>433</v>
      </c>
      <c r="Q3" s="10" t="s">
        <v>458</v>
      </c>
      <c r="R3" s="10"/>
      <c r="S3" s="10" t="s">
        <v>436</v>
      </c>
      <c r="T3" s="10" t="s">
        <v>459</v>
      </c>
      <c r="U3" s="10" t="s">
        <v>438</v>
      </c>
      <c r="V3" s="10"/>
    </row>
    <row r="4" spans="1:22" ht="14.25" x14ac:dyDescent="0.15">
      <c r="A4" s="3">
        <f t="shared" ref="A4:A35" si="0">A3+1</f>
        <v>2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1"/>
      <c r="M4" s="11"/>
      <c r="N4" s="10"/>
      <c r="O4" s="10"/>
      <c r="P4" s="12" t="s">
        <v>442</v>
      </c>
      <c r="Q4" s="10" t="s">
        <v>460</v>
      </c>
      <c r="R4" s="10"/>
      <c r="S4" s="10" t="s">
        <v>461</v>
      </c>
      <c r="T4" s="10" t="s">
        <v>459</v>
      </c>
      <c r="U4" s="10"/>
      <c r="V4" s="10"/>
    </row>
    <row r="5" spans="1:22" ht="14.25" x14ac:dyDescent="0.15">
      <c r="A5" s="3">
        <f t="shared" si="0"/>
        <v>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</row>
    <row r="6" spans="1:22" ht="14.25" x14ac:dyDescent="0.15">
      <c r="A6" s="3">
        <f t="shared" si="0"/>
        <v>4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</row>
    <row r="7" spans="1:22" ht="14.25" x14ac:dyDescent="0.15">
      <c r="A7" s="3">
        <f t="shared" si="0"/>
        <v>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spans="1:22" ht="14.25" x14ac:dyDescent="0.15">
      <c r="A8" s="3">
        <f t="shared" si="0"/>
        <v>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</row>
    <row r="9" spans="1:22" ht="14.25" x14ac:dyDescent="0.15">
      <c r="A9" s="3">
        <f t="shared" si="0"/>
        <v>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</row>
    <row r="10" spans="1:22" ht="14.25" x14ac:dyDescent="0.15">
      <c r="A10" s="3">
        <f t="shared" si="0"/>
        <v>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spans="1:22" ht="14.25" x14ac:dyDescent="0.15">
      <c r="A11" s="3">
        <f t="shared" si="0"/>
        <v>9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</row>
    <row r="12" spans="1:22" ht="14.25" x14ac:dyDescent="0.15">
      <c r="A12" s="3">
        <f t="shared" si="0"/>
        <v>10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</row>
    <row r="13" spans="1:22" ht="14.25" x14ac:dyDescent="0.15">
      <c r="A13" s="3">
        <f t="shared" si="0"/>
        <v>11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</row>
    <row r="14" spans="1:22" ht="14.25" x14ac:dyDescent="0.15">
      <c r="A14" s="3">
        <f t="shared" si="0"/>
        <v>12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</row>
    <row r="15" spans="1:22" ht="14.25" x14ac:dyDescent="0.15">
      <c r="A15" s="3">
        <f t="shared" si="0"/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</row>
    <row r="16" spans="1:22" ht="14.25" x14ac:dyDescent="0.15">
      <c r="A16" s="3">
        <f t="shared" si="0"/>
        <v>14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1:22" ht="14.25" x14ac:dyDescent="0.15">
      <c r="A17" s="3">
        <f t="shared" si="0"/>
        <v>15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1:22" ht="14.25" x14ac:dyDescent="0.15">
      <c r="A18" s="3">
        <f t="shared" si="0"/>
        <v>16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</row>
    <row r="19" spans="1:22" ht="14.25" x14ac:dyDescent="0.15">
      <c r="A19" s="3">
        <f t="shared" si="0"/>
        <v>17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</row>
    <row r="20" spans="1:22" ht="14.25" x14ac:dyDescent="0.15">
      <c r="A20" s="3">
        <f t="shared" si="0"/>
        <v>18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</row>
    <row r="21" spans="1:22" ht="14.25" x14ac:dyDescent="0.15">
      <c r="A21" s="3">
        <f t="shared" si="0"/>
        <v>19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</row>
    <row r="22" spans="1:22" ht="14.25" x14ac:dyDescent="0.15">
      <c r="A22" s="3">
        <f t="shared" si="0"/>
        <v>20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</row>
    <row r="23" spans="1:22" x14ac:dyDescent="0.15">
      <c r="A23" s="3">
        <f t="shared" si="0"/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11"/>
      <c r="M23" s="11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15">
      <c r="A24" s="3">
        <f t="shared" si="0"/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11"/>
      <c r="M24" s="11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15">
      <c r="A25" s="3">
        <f t="shared" si="0"/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15">
      <c r="A26" s="3">
        <f t="shared" si="0"/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x14ac:dyDescent="0.15">
      <c r="A27" s="3">
        <f t="shared" si="0"/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x14ac:dyDescent="0.15">
      <c r="A28" s="3">
        <f t="shared" si="0"/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x14ac:dyDescent="0.15">
      <c r="A29" s="3">
        <f t="shared" si="0"/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x14ac:dyDescent="0.15">
      <c r="A30" s="3">
        <f t="shared" si="0"/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2" x14ac:dyDescent="0.15">
      <c r="A31" s="3">
        <f t="shared" si="0"/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spans="1:22" x14ac:dyDescent="0.15">
      <c r="A32" s="3">
        <f t="shared" si="0"/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x14ac:dyDescent="0.15">
      <c r="A33" s="3">
        <f t="shared" si="0"/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x14ac:dyDescent="0.15">
      <c r="A34" s="3">
        <f t="shared" si="0"/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x14ac:dyDescent="0.15">
      <c r="A35" s="3">
        <f t="shared" si="0"/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15">
      <c r="A36" s="3">
        <f t="shared" ref="A36:A67" si="1">A35+1</f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15">
      <c r="A37" s="3">
        <f t="shared" si="1"/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15">
      <c r="A38" s="3">
        <f t="shared" si="1"/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15">
      <c r="A39" s="3">
        <f t="shared" si="1"/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15">
      <c r="A40" s="3">
        <f t="shared" si="1"/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15">
      <c r="A41" s="3">
        <f t="shared" si="1"/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spans="1:22" x14ac:dyDescent="0.15">
      <c r="A42" s="3">
        <f t="shared" si="1"/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spans="1:22" x14ac:dyDescent="0.15">
      <c r="A43" s="3">
        <f t="shared" si="1"/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spans="1:22" x14ac:dyDescent="0.15">
      <c r="A44" s="3">
        <f t="shared" si="1"/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spans="1:22" x14ac:dyDescent="0.15">
      <c r="A45" s="3">
        <f t="shared" si="1"/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spans="1:22" x14ac:dyDescent="0.15">
      <c r="A46" s="3">
        <f t="shared" si="1"/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spans="1:22" x14ac:dyDescent="0.15">
      <c r="A47" s="3">
        <f t="shared" si="1"/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spans="1:22" x14ac:dyDescent="0.15">
      <c r="A48" s="3">
        <f t="shared" si="1"/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spans="1:22" x14ac:dyDescent="0.15">
      <c r="A49" s="3">
        <f t="shared" si="1"/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x14ac:dyDescent="0.15">
      <c r="A50" s="3">
        <f t="shared" si="1"/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x14ac:dyDescent="0.15">
      <c r="A51" s="3">
        <f t="shared" si="1"/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x14ac:dyDescent="0.15">
      <c r="A52" s="3">
        <f t="shared" si="1"/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x14ac:dyDescent="0.15">
      <c r="A53" s="3">
        <f t="shared" si="1"/>
        <v>51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x14ac:dyDescent="0.15">
      <c r="A54" s="3">
        <f t="shared" si="1"/>
        <v>52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x14ac:dyDescent="0.15">
      <c r="A55" s="3">
        <f t="shared" si="1"/>
        <v>53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x14ac:dyDescent="0.15">
      <c r="A56" s="3">
        <f t="shared" si="1"/>
        <v>54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x14ac:dyDescent="0.15">
      <c r="A57" s="3">
        <f t="shared" si="1"/>
        <v>55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x14ac:dyDescent="0.15">
      <c r="A58" s="3">
        <f t="shared" si="1"/>
        <v>56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x14ac:dyDescent="0.15">
      <c r="A59" s="3">
        <f t="shared" si="1"/>
        <v>57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x14ac:dyDescent="0.15">
      <c r="A60" s="3">
        <f t="shared" si="1"/>
        <v>58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x14ac:dyDescent="0.15">
      <c r="A61" s="3">
        <f t="shared" si="1"/>
        <v>59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x14ac:dyDescent="0.15">
      <c r="A62" s="3">
        <f t="shared" si="1"/>
        <v>60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x14ac:dyDescent="0.15">
      <c r="A63" s="3">
        <f t="shared" si="1"/>
        <v>61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x14ac:dyDescent="0.15">
      <c r="A64" s="3">
        <f t="shared" si="1"/>
        <v>62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x14ac:dyDescent="0.15">
      <c r="A65" s="3">
        <f t="shared" si="1"/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x14ac:dyDescent="0.15">
      <c r="A66" s="3">
        <f t="shared" si="1"/>
        <v>64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x14ac:dyDescent="0.15">
      <c r="A67" s="3">
        <f t="shared" si="1"/>
        <v>65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x14ac:dyDescent="0.15">
      <c r="A68" s="3">
        <f t="shared" ref="A68:A102" si="2">A67+1</f>
        <v>66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x14ac:dyDescent="0.15">
      <c r="A69" s="3">
        <f t="shared" si="2"/>
        <v>67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x14ac:dyDescent="0.15">
      <c r="A70" s="3">
        <f t="shared" si="2"/>
        <v>68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x14ac:dyDescent="0.15">
      <c r="A71" s="3">
        <f t="shared" si="2"/>
        <v>69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x14ac:dyDescent="0.15">
      <c r="A72" s="3">
        <f t="shared" si="2"/>
        <v>70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x14ac:dyDescent="0.15">
      <c r="A73" s="3">
        <f t="shared" si="2"/>
        <v>71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x14ac:dyDescent="0.15">
      <c r="A74" s="3">
        <f t="shared" si="2"/>
        <v>72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x14ac:dyDescent="0.15">
      <c r="A75" s="3">
        <f t="shared" si="2"/>
        <v>73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x14ac:dyDescent="0.15">
      <c r="A76" s="3">
        <f t="shared" si="2"/>
        <v>74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x14ac:dyDescent="0.15">
      <c r="A77" s="3">
        <f t="shared" si="2"/>
        <v>75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x14ac:dyDescent="0.15">
      <c r="A78" s="3">
        <f t="shared" si="2"/>
        <v>76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x14ac:dyDescent="0.15">
      <c r="A79" s="3">
        <f t="shared" si="2"/>
        <v>77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x14ac:dyDescent="0.15">
      <c r="A80" s="3">
        <f t="shared" si="2"/>
        <v>78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x14ac:dyDescent="0.15">
      <c r="A81" s="3">
        <f t="shared" si="2"/>
        <v>79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x14ac:dyDescent="0.15">
      <c r="A82" s="3">
        <f t="shared" si="2"/>
        <v>80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x14ac:dyDescent="0.15">
      <c r="A83" s="3">
        <f t="shared" si="2"/>
        <v>81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x14ac:dyDescent="0.15">
      <c r="A84" s="3">
        <f t="shared" si="2"/>
        <v>82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x14ac:dyDescent="0.15">
      <c r="A85" s="3">
        <f t="shared" si="2"/>
        <v>83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x14ac:dyDescent="0.15">
      <c r="A86" s="3">
        <f t="shared" si="2"/>
        <v>84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x14ac:dyDescent="0.15">
      <c r="A87" s="3">
        <f t="shared" si="2"/>
        <v>85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x14ac:dyDescent="0.15">
      <c r="A88" s="3">
        <f t="shared" si="2"/>
        <v>86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x14ac:dyDescent="0.15">
      <c r="A89" s="3">
        <f t="shared" si="2"/>
        <v>87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x14ac:dyDescent="0.15">
      <c r="A90" s="3">
        <f t="shared" si="2"/>
        <v>88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x14ac:dyDescent="0.15">
      <c r="A91" s="3">
        <f t="shared" si="2"/>
        <v>89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x14ac:dyDescent="0.15">
      <c r="A92" s="3">
        <f t="shared" si="2"/>
        <v>90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x14ac:dyDescent="0.15">
      <c r="A93" s="3">
        <f t="shared" si="2"/>
        <v>91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x14ac:dyDescent="0.15">
      <c r="A94" s="3">
        <f t="shared" si="2"/>
        <v>92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x14ac:dyDescent="0.15">
      <c r="A95" s="3">
        <f t="shared" si="2"/>
        <v>93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x14ac:dyDescent="0.15">
      <c r="A96" s="3">
        <f t="shared" si="2"/>
        <v>94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x14ac:dyDescent="0.15">
      <c r="A97" s="3">
        <f t="shared" si="2"/>
        <v>95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x14ac:dyDescent="0.15">
      <c r="A98" s="3">
        <f t="shared" si="2"/>
        <v>96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x14ac:dyDescent="0.15">
      <c r="A99" s="3">
        <f t="shared" si="2"/>
        <v>97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x14ac:dyDescent="0.15">
      <c r="A100" s="3">
        <f t="shared" si="2"/>
        <v>98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x14ac:dyDescent="0.15">
      <c r="A101" s="3">
        <f t="shared" si="2"/>
        <v>99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x14ac:dyDescent="0.15">
      <c r="A102" s="3">
        <f t="shared" si="2"/>
        <v>100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</sheetData>
  <phoneticPr fontId="8"/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Roman,標準"&amp;12&amp;A</oddHeader>
    <oddFooter>&amp;C&amp;"Times New Roman,標準"&amp;12ページ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B1" zoomScaleNormal="100" workbookViewId="0">
      <selection activeCell="I3" sqref="I3"/>
    </sheetView>
  </sheetViews>
  <sheetFormatPr defaultRowHeight="13.5" x14ac:dyDescent="0.15"/>
  <cols>
    <col min="1" max="1" width="9" customWidth="1"/>
    <col min="2" max="2" width="9.75" customWidth="1"/>
    <col min="3" max="3" width="12" customWidth="1"/>
    <col min="4" max="4" width="8.875" customWidth="1"/>
    <col min="5" max="5" width="34.375" customWidth="1"/>
    <col min="6" max="6" width="16.25" customWidth="1"/>
    <col min="7" max="7" width="10.5" customWidth="1"/>
    <col min="8" max="8" width="13.5" customWidth="1"/>
    <col min="9" max="9" width="15.75" customWidth="1"/>
    <col min="10" max="10" width="15.125" customWidth="1"/>
    <col min="11" max="11" width="16.875" customWidth="1"/>
    <col min="12" max="12" width="10.625" customWidth="1"/>
    <col min="13" max="13" width="12.375" customWidth="1"/>
    <col min="14" max="14" width="14.25" customWidth="1"/>
    <col min="15" max="1022" width="8.75" customWidth="1"/>
    <col min="1023" max="1025" width="11.625" customWidth="1"/>
  </cols>
  <sheetData>
    <row r="1" spans="1:14" x14ac:dyDescent="0.15">
      <c r="A1" s="9" t="s">
        <v>55</v>
      </c>
      <c r="B1" s="9" t="s">
        <v>61</v>
      </c>
      <c r="C1" s="9" t="s">
        <v>61</v>
      </c>
      <c r="D1" s="9" t="s">
        <v>61</v>
      </c>
      <c r="E1" s="9" t="s">
        <v>36</v>
      </c>
      <c r="F1" s="9" t="s">
        <v>36</v>
      </c>
      <c r="G1" s="9" t="s">
        <v>36</v>
      </c>
      <c r="H1" s="9" t="s">
        <v>36</v>
      </c>
      <c r="I1" s="9" t="s">
        <v>36</v>
      </c>
      <c r="J1" s="9" t="s">
        <v>36</v>
      </c>
      <c r="K1" s="9" t="s">
        <v>36</v>
      </c>
      <c r="L1" s="9" t="s">
        <v>36</v>
      </c>
      <c r="M1" s="9" t="s">
        <v>36</v>
      </c>
      <c r="N1" s="9" t="s">
        <v>36</v>
      </c>
    </row>
    <row r="2" spans="1:14" x14ac:dyDescent="0.15">
      <c r="A2" s="9" t="s">
        <v>15</v>
      </c>
      <c r="B2" s="9" t="s">
        <v>27</v>
      </c>
      <c r="C2" s="9" t="s">
        <v>28</v>
      </c>
      <c r="D2" s="9" t="s">
        <v>70</v>
      </c>
      <c r="E2" s="9" t="s">
        <v>338</v>
      </c>
      <c r="F2" s="9" t="s">
        <v>344</v>
      </c>
      <c r="G2" s="9" t="s">
        <v>23</v>
      </c>
      <c r="H2" s="9" t="s">
        <v>312</v>
      </c>
      <c r="I2" s="9" t="s">
        <v>462</v>
      </c>
      <c r="J2" s="9" t="s">
        <v>463</v>
      </c>
      <c r="K2" s="9" t="s">
        <v>464</v>
      </c>
      <c r="L2" s="9" t="s">
        <v>465</v>
      </c>
      <c r="M2" s="9" t="s">
        <v>466</v>
      </c>
      <c r="N2" s="9" t="s">
        <v>467</v>
      </c>
    </row>
    <row r="3" spans="1:14" ht="14.25" x14ac:dyDescent="0.15">
      <c r="A3" s="3">
        <v>1</v>
      </c>
      <c r="B3" s="10">
        <v>2</v>
      </c>
      <c r="C3" s="10">
        <v>4</v>
      </c>
      <c r="D3" s="10" t="s">
        <v>468</v>
      </c>
      <c r="E3" s="10" t="s">
        <v>469</v>
      </c>
      <c r="F3" s="10" t="s">
        <v>470</v>
      </c>
      <c r="G3" s="10">
        <v>1</v>
      </c>
      <c r="H3" s="10">
        <v>4000000</v>
      </c>
      <c r="I3" s="10" t="s">
        <v>38</v>
      </c>
      <c r="J3" s="10" t="s">
        <v>471</v>
      </c>
      <c r="K3" s="10">
        <v>50</v>
      </c>
      <c r="L3" s="10" t="s">
        <v>435</v>
      </c>
      <c r="M3" s="10" t="s">
        <v>472</v>
      </c>
      <c r="N3" s="10" t="s">
        <v>473</v>
      </c>
    </row>
    <row r="4" spans="1:14" ht="14.25" x14ac:dyDescent="0.15">
      <c r="A4" s="3">
        <f t="shared" ref="A4:A35" si="0">A3+1</f>
        <v>2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 t="s">
        <v>474</v>
      </c>
      <c r="N4" s="10" t="s">
        <v>475</v>
      </c>
    </row>
    <row r="5" spans="1:14" ht="14.25" x14ac:dyDescent="0.15">
      <c r="A5" s="3">
        <f t="shared" si="0"/>
        <v>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1:14" ht="14.25" x14ac:dyDescent="0.15">
      <c r="A6" s="3">
        <f t="shared" si="0"/>
        <v>4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</row>
    <row r="7" spans="1:14" ht="14.25" x14ac:dyDescent="0.15">
      <c r="A7" s="3">
        <f t="shared" si="0"/>
        <v>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 ht="14.25" x14ac:dyDescent="0.15">
      <c r="A8" s="3">
        <f t="shared" si="0"/>
        <v>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1:14" ht="14.25" x14ac:dyDescent="0.15">
      <c r="A9" s="3">
        <f t="shared" si="0"/>
        <v>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1:14" ht="14.25" x14ac:dyDescent="0.15">
      <c r="A10" s="3">
        <f t="shared" si="0"/>
        <v>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</row>
    <row r="11" spans="1:14" ht="14.25" x14ac:dyDescent="0.15">
      <c r="A11" s="3">
        <f t="shared" si="0"/>
        <v>9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spans="1:14" ht="14.25" x14ac:dyDescent="0.15">
      <c r="A12" s="3">
        <f t="shared" si="0"/>
        <v>10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1:14" ht="14.25" x14ac:dyDescent="0.15">
      <c r="A13" s="3">
        <f t="shared" si="0"/>
        <v>11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spans="1:14" ht="14.25" x14ac:dyDescent="0.15">
      <c r="A14" s="3">
        <f t="shared" si="0"/>
        <v>12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4" ht="14.25" x14ac:dyDescent="0.15">
      <c r="A15" s="3">
        <f t="shared" si="0"/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spans="1:14" ht="14.25" x14ac:dyDescent="0.15">
      <c r="A16" s="3">
        <f t="shared" si="0"/>
        <v>14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ht="14.25" x14ac:dyDescent="0.15">
      <c r="A17" s="3">
        <f t="shared" si="0"/>
        <v>15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</row>
    <row r="18" spans="1:14" ht="14.25" x14ac:dyDescent="0.15">
      <c r="A18" s="3">
        <f t="shared" si="0"/>
        <v>16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1:14" ht="14.25" x14ac:dyDescent="0.15">
      <c r="A19" s="3">
        <f t="shared" si="0"/>
        <v>17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</row>
    <row r="20" spans="1:14" ht="14.25" x14ac:dyDescent="0.15">
      <c r="A20" s="3">
        <f t="shared" si="0"/>
        <v>18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1:14" ht="14.25" x14ac:dyDescent="0.15">
      <c r="A21" s="3">
        <f t="shared" si="0"/>
        <v>19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 ht="14.25" x14ac:dyDescent="0.15">
      <c r="A22" s="3">
        <f t="shared" si="0"/>
        <v>20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 ht="14.25" x14ac:dyDescent="0.15">
      <c r="A23" s="3">
        <f t="shared" si="0"/>
        <v>21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</row>
    <row r="24" spans="1:14" ht="14.25" x14ac:dyDescent="0.15">
      <c r="A24" s="3">
        <f t="shared" si="0"/>
        <v>22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1:14" ht="14.25" x14ac:dyDescent="0.15">
      <c r="A25" s="3">
        <f t="shared" si="0"/>
        <v>23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1:14" ht="14.25" x14ac:dyDescent="0.15">
      <c r="A26" s="3">
        <f t="shared" si="0"/>
        <v>24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 ht="14.25" x14ac:dyDescent="0.15">
      <c r="A27" s="3">
        <f t="shared" si="0"/>
        <v>25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1:14" ht="14.25" x14ac:dyDescent="0.15">
      <c r="A28" s="3">
        <f t="shared" si="0"/>
        <v>26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1:14" x14ac:dyDescent="0.15">
      <c r="A29" s="3">
        <f t="shared" si="0"/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1:14" x14ac:dyDescent="0.15">
      <c r="A30" s="3">
        <f t="shared" si="0"/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14" x14ac:dyDescent="0.15">
      <c r="A31" s="3">
        <f t="shared" si="0"/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1:14" x14ac:dyDescent="0.15">
      <c r="A32" s="3">
        <f t="shared" si="0"/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1:14" x14ac:dyDescent="0.15">
      <c r="A33" s="3">
        <f t="shared" si="0"/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spans="1:14" x14ac:dyDescent="0.15">
      <c r="A34" s="3">
        <f t="shared" si="0"/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spans="1:14" x14ac:dyDescent="0.15">
      <c r="A35" s="3">
        <f t="shared" si="0"/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15">
      <c r="A36" s="3">
        <f t="shared" ref="A36:A67" si="1">A35+1</f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15">
      <c r="A37" s="3">
        <f t="shared" si="1"/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15">
      <c r="A38" s="3">
        <f t="shared" si="1"/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15">
      <c r="A39" s="3">
        <f t="shared" si="1"/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15">
      <c r="A40" s="3">
        <f t="shared" si="1"/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15">
      <c r="A41" s="3">
        <f t="shared" si="1"/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  <row r="42" spans="1:14" x14ac:dyDescent="0.15">
      <c r="A42" s="3">
        <f t="shared" si="1"/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spans="1:14" x14ac:dyDescent="0.15">
      <c r="A43" s="3">
        <f t="shared" si="1"/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</row>
    <row r="44" spans="1:14" x14ac:dyDescent="0.15">
      <c r="A44" s="3">
        <f t="shared" si="1"/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15">
      <c r="A45" s="3">
        <f t="shared" si="1"/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</row>
    <row r="46" spans="1:14" x14ac:dyDescent="0.15">
      <c r="A46" s="3">
        <f t="shared" si="1"/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</row>
    <row r="47" spans="1:14" x14ac:dyDescent="0.15">
      <c r="A47" s="3">
        <f t="shared" si="1"/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</row>
    <row r="48" spans="1:14" x14ac:dyDescent="0.15">
      <c r="A48" s="3">
        <f t="shared" si="1"/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15">
      <c r="A49" s="3">
        <f t="shared" si="1"/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</row>
    <row r="50" spans="1:14" x14ac:dyDescent="0.15">
      <c r="A50" s="3">
        <f t="shared" si="1"/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</row>
    <row r="51" spans="1:14" x14ac:dyDescent="0.15">
      <c r="A51" s="3">
        <f t="shared" si="1"/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</row>
    <row r="52" spans="1:14" x14ac:dyDescent="0.15">
      <c r="A52" s="3">
        <f t="shared" si="1"/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</row>
    <row r="53" spans="1:14" x14ac:dyDescent="0.15">
      <c r="A53" s="3">
        <f t="shared" si="1"/>
        <v>51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</row>
    <row r="54" spans="1:14" x14ac:dyDescent="0.15">
      <c r="A54" s="3">
        <f t="shared" si="1"/>
        <v>52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</row>
    <row r="55" spans="1:14" x14ac:dyDescent="0.15">
      <c r="A55" s="3">
        <f t="shared" si="1"/>
        <v>53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</row>
    <row r="56" spans="1:14" x14ac:dyDescent="0.15">
      <c r="A56" s="3">
        <f t="shared" si="1"/>
        <v>54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</row>
    <row r="57" spans="1:14" x14ac:dyDescent="0.15">
      <c r="A57" s="3">
        <f t="shared" si="1"/>
        <v>55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</row>
    <row r="58" spans="1:14" x14ac:dyDescent="0.15">
      <c r="A58" s="3">
        <f t="shared" si="1"/>
        <v>56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spans="1:14" x14ac:dyDescent="0.15">
      <c r="A59" s="3">
        <f t="shared" si="1"/>
        <v>57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</row>
    <row r="60" spans="1:14" x14ac:dyDescent="0.15">
      <c r="A60" s="3">
        <f t="shared" si="1"/>
        <v>58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</row>
    <row r="61" spans="1:14" x14ac:dyDescent="0.15">
      <c r="A61" s="3">
        <f t="shared" si="1"/>
        <v>59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</row>
    <row r="62" spans="1:14" x14ac:dyDescent="0.15">
      <c r="A62" s="3">
        <f t="shared" si="1"/>
        <v>60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</row>
    <row r="63" spans="1:14" x14ac:dyDescent="0.15">
      <c r="A63" s="3">
        <f t="shared" si="1"/>
        <v>61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</row>
    <row r="64" spans="1:14" x14ac:dyDescent="0.15">
      <c r="A64" s="3">
        <f t="shared" si="1"/>
        <v>62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spans="1:14" x14ac:dyDescent="0.15">
      <c r="A65" s="3">
        <f t="shared" si="1"/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</row>
    <row r="66" spans="1:14" x14ac:dyDescent="0.15">
      <c r="A66" s="3">
        <f t="shared" si="1"/>
        <v>64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</row>
    <row r="67" spans="1:14" x14ac:dyDescent="0.15">
      <c r="A67" s="3">
        <f t="shared" si="1"/>
        <v>65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</row>
    <row r="68" spans="1:14" x14ac:dyDescent="0.15">
      <c r="A68" s="3">
        <f t="shared" ref="A68:A102" si="2">A67+1</f>
        <v>66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</row>
    <row r="69" spans="1:14" x14ac:dyDescent="0.15">
      <c r="A69" s="3">
        <f t="shared" si="2"/>
        <v>67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</row>
    <row r="70" spans="1:14" x14ac:dyDescent="0.15">
      <c r="A70" s="3">
        <f t="shared" si="2"/>
        <v>68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</row>
    <row r="71" spans="1:14" x14ac:dyDescent="0.15">
      <c r="A71" s="3">
        <f t="shared" si="2"/>
        <v>69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</row>
    <row r="72" spans="1:14" x14ac:dyDescent="0.15">
      <c r="A72" s="3">
        <f t="shared" si="2"/>
        <v>70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</row>
    <row r="73" spans="1:14" x14ac:dyDescent="0.15">
      <c r="A73" s="3">
        <f t="shared" si="2"/>
        <v>71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</row>
    <row r="74" spans="1:14" x14ac:dyDescent="0.15">
      <c r="A74" s="3">
        <f t="shared" si="2"/>
        <v>72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</row>
    <row r="75" spans="1:14" x14ac:dyDescent="0.15">
      <c r="A75" s="3">
        <f t="shared" si="2"/>
        <v>73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</row>
    <row r="76" spans="1:14" x14ac:dyDescent="0.15">
      <c r="A76" s="3">
        <f t="shared" si="2"/>
        <v>74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</row>
    <row r="77" spans="1:14" x14ac:dyDescent="0.15">
      <c r="A77" s="3">
        <f t="shared" si="2"/>
        <v>75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</row>
    <row r="78" spans="1:14" x14ac:dyDescent="0.15">
      <c r="A78" s="3">
        <f t="shared" si="2"/>
        <v>76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</row>
    <row r="79" spans="1:14" x14ac:dyDescent="0.15">
      <c r="A79" s="3">
        <f t="shared" si="2"/>
        <v>77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</row>
    <row r="80" spans="1:14" x14ac:dyDescent="0.15">
      <c r="A80" s="3">
        <f t="shared" si="2"/>
        <v>78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</row>
    <row r="81" spans="1:14" x14ac:dyDescent="0.15">
      <c r="A81" s="3">
        <f t="shared" si="2"/>
        <v>79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1:14" x14ac:dyDescent="0.15">
      <c r="A82" s="3">
        <f t="shared" si="2"/>
        <v>80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1:14" x14ac:dyDescent="0.15">
      <c r="A83" s="3">
        <f t="shared" si="2"/>
        <v>81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1:14" x14ac:dyDescent="0.15">
      <c r="A84" s="3">
        <f t="shared" si="2"/>
        <v>82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1:14" x14ac:dyDescent="0.15">
      <c r="A85" s="3">
        <f t="shared" si="2"/>
        <v>83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1:14" x14ac:dyDescent="0.15">
      <c r="A86" s="3">
        <f t="shared" si="2"/>
        <v>84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1:14" x14ac:dyDescent="0.15">
      <c r="A87" s="3">
        <f t="shared" si="2"/>
        <v>85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1:14" x14ac:dyDescent="0.15">
      <c r="A88" s="3">
        <f t="shared" si="2"/>
        <v>86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1:14" x14ac:dyDescent="0.15">
      <c r="A89" s="3">
        <f t="shared" si="2"/>
        <v>87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1:14" x14ac:dyDescent="0.15">
      <c r="A90" s="3">
        <f t="shared" si="2"/>
        <v>88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1:14" x14ac:dyDescent="0.15">
      <c r="A91" s="3">
        <f t="shared" si="2"/>
        <v>89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1:14" x14ac:dyDescent="0.15">
      <c r="A92" s="3">
        <f t="shared" si="2"/>
        <v>90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1:14" x14ac:dyDescent="0.15">
      <c r="A93" s="3">
        <f t="shared" si="2"/>
        <v>91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1:14" x14ac:dyDescent="0.15">
      <c r="A94" s="3">
        <f t="shared" si="2"/>
        <v>92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1:14" x14ac:dyDescent="0.15">
      <c r="A95" s="3">
        <f t="shared" si="2"/>
        <v>93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1:14" x14ac:dyDescent="0.15">
      <c r="A96" s="3">
        <f t="shared" si="2"/>
        <v>94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1:14" x14ac:dyDescent="0.15">
      <c r="A97" s="3">
        <f t="shared" si="2"/>
        <v>95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1:14" x14ac:dyDescent="0.15">
      <c r="A98" s="3">
        <f t="shared" si="2"/>
        <v>96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1:14" x14ac:dyDescent="0.15">
      <c r="A99" s="3">
        <f t="shared" si="2"/>
        <v>97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1:14" x14ac:dyDescent="0.15">
      <c r="A100" s="3">
        <f t="shared" si="2"/>
        <v>98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1:14" x14ac:dyDescent="0.15">
      <c r="A101" s="3">
        <f t="shared" si="2"/>
        <v>99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1:14" x14ac:dyDescent="0.15">
      <c r="A102" s="3">
        <f t="shared" si="2"/>
        <v>100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</sheetData>
  <phoneticPr fontId="8"/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 r:id="rId1"/>
  <headerFooter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6579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検査対象</vt:lpstr>
      <vt:lpstr>検査レポート</vt:lpstr>
      <vt:lpstr>エラーレポート</vt:lpstr>
      <vt:lpstr>チェックシート(Linux)</vt:lpstr>
      <vt:lpstr>チェックシート(Windows)</vt:lpstr>
      <vt:lpstr>テンプレート(Linux)</vt:lpstr>
      <vt:lpstr>テンプレート(RH7)</vt:lpstr>
      <vt:lpstr>テンプレート(Windows)</vt:lpstr>
    </vt:vector>
  </TitlesOfParts>
  <Company>Toshiba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furusawa minoru(古澤 実 ＴＤＳＬ （ＩＮジ）［東Ｇ技］（東技１）)</dc:creator>
  <dc:description/>
  <cp:lastModifiedBy>furusawa minoru(古澤 実 ＴＤＳＬ （ＩＮジ）［東Ｇ技］（東技１）)</cp:lastModifiedBy>
  <cp:revision>106</cp:revision>
  <dcterms:created xsi:type="dcterms:W3CDTF">2018-05-22T03:17:02Z</dcterms:created>
  <dcterms:modified xsi:type="dcterms:W3CDTF">2018-06-28T07:47:35Z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Company">
    <vt:lpwstr>Toshiba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